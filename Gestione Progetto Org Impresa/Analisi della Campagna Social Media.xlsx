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B INF\AppData\Local\SchoolHub\Workspaces\Scuola\Gestione Progetto Org Impresa\"/>
    </mc:Choice>
  </mc:AlternateContent>
  <xr:revisionPtr revIDLastSave="0" documentId="13_ncr:1_{60107293-0F4B-4DE0-BAA1-A5562A47F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chart.v1.0" hidden="1">Foglio1!$A$16</definedName>
    <definedName name="_xlchart.v1.1" hidden="1">Foglio1!$A$16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B12" i="1"/>
  <c r="A12" i="1"/>
  <c r="H5" i="1"/>
  <c r="H6" i="1"/>
  <c r="H7" i="1"/>
  <c r="H8" i="1"/>
  <c r="H4" i="1"/>
  <c r="G5" i="1"/>
  <c r="G6" i="1"/>
  <c r="G7" i="1"/>
  <c r="G8" i="1"/>
  <c r="G4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<sst xmlns="http://schemas.openxmlformats.org/spreadsheetml/2006/main" count="16" uniqueCount="16">
  <si>
    <t>Nome Post</t>
  </si>
  <si>
    <t>Like</t>
  </si>
  <si>
    <t>Commenti</t>
  </si>
  <si>
    <t>Condivisioni</t>
  </si>
  <si>
    <t>Costo Totale (€)</t>
  </si>
  <si>
    <t>Totale Interazioni</t>
  </si>
  <si>
    <t>Valutazione</t>
  </si>
  <si>
    <t>Costo per Interazione (€)</t>
  </si>
  <si>
    <t>Post 1</t>
  </si>
  <si>
    <t>Post 2</t>
  </si>
  <si>
    <t>Post 3</t>
  </si>
  <si>
    <t>Post 4</t>
  </si>
  <si>
    <t>Post 5</t>
  </si>
  <si>
    <t>Totale Interazioni Complessive</t>
  </si>
  <si>
    <t>Media Iterazioni per Post</t>
  </si>
  <si>
    <t>Interazione Minima e Massima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</si>
</sst>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-* #,##0.00\ [$€-410]_-;\-* #,##0.00\ [$€-410]_-;_-* &quot;-&quot;??\ [$€-410]_-;_-@_-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trike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0" fillId="3" borderId="0" xfId="0" applyFill="1" applyBorder="1" applyAlignment="1">
      <alignment vertical="top" wrapText="1"/>
    </xf>
    <xf numFmtId="178" fontId="0" fillId="3" borderId="0" xfId="0" applyNumberFormat="1" applyFill="1" applyBorder="1" applyAlignment="1">
      <alignment vertical="top" wrapText="1"/>
    </xf>
    <xf numFmtId="0" fontId="0" fillId="3" borderId="0" xfId="0" applyFill="1" applyAlignment="1">
      <alignment vertical="center"/>
    </xf>
    <xf numFmtId="0" fontId="0" fillId="3" borderId="0" xfId="0" applyFill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Iterazioni</a:t>
            </a:r>
          </a:p>
        </c:rich>
      </c:tx>
      <c:layout>
        <c:manualLayout>
          <c:xMode val="edge"/>
          <c:yMode val="edge"/>
          <c:x val="0.415777777777777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Like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Foglio1!$A$4:$A$8</c:f>
              <c:strCache>
                <c:ptCount val="5"/>
                <c:pt idx="0">
                  <c:v>Post 1</c:v>
                </c:pt>
                <c:pt idx="1">
                  <c:v>Post 2</c:v>
                </c:pt>
                <c:pt idx="2">
                  <c:v>Post 3</c:v>
                </c:pt>
                <c:pt idx="3">
                  <c:v>Post 4</c:v>
                </c:pt>
                <c:pt idx="4">
                  <c:v>Post 5</c:v>
                </c:pt>
              </c:strCache>
            </c:strRef>
          </c:cat>
          <c:val>
            <c:numRef>
              <c:f>Foglio1!$B$4:$B$8</c:f>
              <c:numCache>
                <c:formatCode>General</c:formatCode>
                <c:ptCount val="5"/>
                <c:pt idx="0">
                  <c:v>320</c:v>
                </c:pt>
                <c:pt idx="1">
                  <c:v>150</c:v>
                </c:pt>
                <c:pt idx="2">
                  <c:v>500</c:v>
                </c:pt>
                <c:pt idx="3">
                  <c:v>90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4-4896-8777-3B9B33E5251B}"/>
            </c:ext>
          </c:extLst>
        </c:ser>
        <c:ser>
          <c:idx val="1"/>
          <c:order val="1"/>
          <c:tx>
            <c:strRef>
              <c:f>Foglio1!$C$3</c:f>
              <c:strCache>
                <c:ptCount val="1"/>
                <c:pt idx="0">
                  <c:v>Commenti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Foglio1!$A$4:$A$8</c:f>
              <c:strCache>
                <c:ptCount val="5"/>
                <c:pt idx="0">
                  <c:v>Post 1</c:v>
                </c:pt>
                <c:pt idx="1">
                  <c:v>Post 2</c:v>
                </c:pt>
                <c:pt idx="2">
                  <c:v>Post 3</c:v>
                </c:pt>
                <c:pt idx="3">
                  <c:v>Post 4</c:v>
                </c:pt>
                <c:pt idx="4">
                  <c:v>Post 5</c:v>
                </c:pt>
              </c:strCache>
            </c:strRef>
          </c:cat>
          <c:val>
            <c:numRef>
              <c:f>Foglio1!$C$4:$C$8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120</c:v>
                </c:pt>
                <c:pt idx="3">
                  <c:v>20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4-4896-8777-3B9B33E5251B}"/>
            </c:ext>
          </c:extLst>
        </c:ser>
        <c:ser>
          <c:idx val="2"/>
          <c:order val="2"/>
          <c:tx>
            <c:strRef>
              <c:f>Foglio1!$D$3</c:f>
              <c:strCache>
                <c:ptCount val="1"/>
                <c:pt idx="0">
                  <c:v>Condivisioni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Foglio1!$A$4:$A$8</c:f>
              <c:strCache>
                <c:ptCount val="5"/>
                <c:pt idx="0">
                  <c:v>Post 1</c:v>
                </c:pt>
                <c:pt idx="1">
                  <c:v>Post 2</c:v>
                </c:pt>
                <c:pt idx="2">
                  <c:v>Post 3</c:v>
                </c:pt>
                <c:pt idx="3">
                  <c:v>Post 4</c:v>
                </c:pt>
                <c:pt idx="4">
                  <c:v>Post 5</c:v>
                </c:pt>
              </c:strCache>
            </c:strRef>
          </c:cat>
          <c:val>
            <c:numRef>
              <c:f>Foglio1!$D$4:$D$8</c:f>
              <c:numCache>
                <c:formatCode>General</c:formatCode>
                <c:ptCount val="5"/>
                <c:pt idx="0">
                  <c:v>150</c:v>
                </c:pt>
                <c:pt idx="1">
                  <c:v>60</c:v>
                </c:pt>
                <c:pt idx="2">
                  <c:v>200</c:v>
                </c:pt>
                <c:pt idx="3">
                  <c:v>30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4-4896-8777-3B9B33E52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949039"/>
        <c:axId val="1252691887"/>
      </c:barChart>
      <c:catAx>
        <c:axId val="14049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2691887"/>
        <c:crosses val="autoZero"/>
        <c:auto val="1"/>
        <c:lblAlgn val="ctr"/>
        <c:lblOffset val="100"/>
        <c:noMultiLvlLbl val="0"/>
      </c:catAx>
      <c:valAx>
        <c:axId val="125269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9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885825</xdr:colOff>
      <xdr:row>9</xdr:row>
      <xdr:rowOff>185737</xdr:rowOff>
    </xdr:from>
    <xdr:to>
      <xdr:col>8</xdr:col>
      <xdr:colOff>390525</xdr:colOff>
      <xdr:row>22</xdr:row>
      <xdr:rowOff>71437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FDB781A-FB4B-B3EA-3E39-DC2016DF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7"/>
  <sheetViews>
    <sheetView tabSelected="1" workbookViewId="0">
      <selection activeCell="C19" sqref="C19"/>
    </sheetView>
  </sheetViews>
  <sheetFormatPr defaultRowHeight="15" x14ac:dyDescent="0.25"/>
  <cols>
    <col min="1" max="1" width="20.28515625" customWidth="1"/>
    <col min="2" max="2" width="17.140625" customWidth="1"/>
    <col min="3" max="3" width="18.140625" customWidth="1"/>
    <col min="4" max="4" width="13.42578125" customWidth="1"/>
    <col min="5" max="5" width="11.85546875" customWidth="1"/>
    <col min="6" max="6" width="19.7109375" customWidth="1"/>
    <col min="7" max="7" width="14.5703125" customWidth="1"/>
    <col min="8" max="8" width="16.42578125" customWidth="1"/>
    <col min="9" max="9" width="12.85546875" customWidth="1"/>
  </cols>
  <sheetData>
    <row r="3" spans="1:8" ht="6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5">
      <c r="A4" s="4" t="s">
        <v>8</v>
      </c>
      <c r="B4" s="5">
        <v>320</v>
      </c>
      <c r="C4" s="5">
        <v>80</v>
      </c>
      <c r="D4" s="5">
        <v>150</v>
      </c>
      <c r="E4" s="5">
        <v>200</v>
      </c>
      <c r="F4" s="6">
        <f>SUM(B4:D4)</f>
        <v>550</v>
      </c>
      <c r="G4" s="6" t="str">
        <f>IF(F4&gt;=500,"Di Successo", "Da Migliorare")</f>
        <v>Di Successo</v>
      </c>
      <c r="H4" s="7">
        <f>E4/F4</f>
        <v>0.36363636363636365</v>
      </c>
    </row>
    <row r="5" spans="1:8" x14ac:dyDescent="0.25">
      <c r="A5" s="4" t="s">
        <v>9</v>
      </c>
      <c r="B5" s="5">
        <v>150</v>
      </c>
      <c r="C5" s="5">
        <v>40</v>
      </c>
      <c r="D5" s="5">
        <v>60</v>
      </c>
      <c r="E5" s="5">
        <v>120</v>
      </c>
      <c r="F5" s="6">
        <f t="shared" ref="F5:F8" si="0">SUM(B5:D5)</f>
        <v>250</v>
      </c>
      <c r="G5" s="6" t="str">
        <f t="shared" ref="G5:G8" si="1">IF(F5&gt;=500,"Di Successo", "Da Migliorare")</f>
        <v>Da Migliorare</v>
      </c>
      <c r="H5" s="7">
        <f t="shared" ref="H5:H8" si="2">E5/F5</f>
        <v>0.48</v>
      </c>
    </row>
    <row r="6" spans="1:8" x14ac:dyDescent="0.25">
      <c r="A6" s="4" t="s">
        <v>10</v>
      </c>
      <c r="B6" s="5">
        <v>500</v>
      </c>
      <c r="C6" s="5">
        <v>120</v>
      </c>
      <c r="D6" s="5">
        <v>200</v>
      </c>
      <c r="E6" s="5">
        <v>350</v>
      </c>
      <c r="F6" s="6">
        <f t="shared" si="0"/>
        <v>820</v>
      </c>
      <c r="G6" s="6" t="str">
        <f t="shared" si="1"/>
        <v>Di Successo</v>
      </c>
      <c r="H6" s="7">
        <f t="shared" si="2"/>
        <v>0.42682926829268292</v>
      </c>
    </row>
    <row r="7" spans="1:8" x14ac:dyDescent="0.25">
      <c r="A7" s="4" t="s">
        <v>11</v>
      </c>
      <c r="B7" s="5">
        <v>90</v>
      </c>
      <c r="C7" s="5">
        <v>20</v>
      </c>
      <c r="D7" s="5">
        <v>30</v>
      </c>
      <c r="E7" s="5">
        <v>80</v>
      </c>
      <c r="F7" s="6">
        <f t="shared" si="0"/>
        <v>140</v>
      </c>
      <c r="G7" s="6" t="str">
        <f t="shared" si="1"/>
        <v>Da Migliorare</v>
      </c>
      <c r="H7" s="7">
        <f t="shared" si="2"/>
        <v>0.5714285714285714</v>
      </c>
    </row>
    <row r="8" spans="1:8" x14ac:dyDescent="0.25">
      <c r="A8" s="4" t="s">
        <v>12</v>
      </c>
      <c r="B8" s="5">
        <v>400</v>
      </c>
      <c r="C8" s="5">
        <v>100</v>
      </c>
      <c r="D8" s="5">
        <v>180</v>
      </c>
      <c r="E8" s="5">
        <v>250</v>
      </c>
      <c r="F8" s="6">
        <f t="shared" si="0"/>
        <v>680</v>
      </c>
      <c r="G8" s="6" t="str">
        <f t="shared" si="1"/>
        <v>Di Successo</v>
      </c>
      <c r="H8" s="7">
        <f t="shared" si="2"/>
        <v>0.36764705882352944</v>
      </c>
    </row>
    <row r="11" spans="1:8" ht="45" x14ac:dyDescent="0.25">
      <c r="A11" s="2" t="s">
        <v>13</v>
      </c>
      <c r="B11" s="3" t="s">
        <v>14</v>
      </c>
      <c r="C11" s="3" t="s">
        <v>15</v>
      </c>
    </row>
    <row r="12" spans="1:8" x14ac:dyDescent="0.25">
      <c r="A12" s="8">
        <f>SUM(F4:F8)</f>
        <v>2440</v>
      </c>
      <c r="B12" s="8">
        <f>AVERAGE(F4:F8)</f>
        <v>488</v>
      </c>
      <c r="C12" s="9">
        <f>MAX(F4:F8)</f>
        <v>820</v>
      </c>
    </row>
    <row r="13" spans="1:8" x14ac:dyDescent="0.25">
      <c r="C13" s="9">
        <f>MIN(F4:F8)</f>
        <v>140</v>
      </c>
    </row>
    <row r="17" spans="11:11" x14ac:dyDescent="0.25">
      <c r="K17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5B INF</dc:creator>
  <cp:lastModifiedBy>5B INF</cp:lastModifiedBy>
  <dcterms:created xsi:type="dcterms:W3CDTF">2015-06-05T18:19:34Z</dcterms:created>
  <dcterms:modified xsi:type="dcterms:W3CDTF">2026-10-12T08:21:16Z</dcterms:modified>
</cp:coreProperties>
</file>