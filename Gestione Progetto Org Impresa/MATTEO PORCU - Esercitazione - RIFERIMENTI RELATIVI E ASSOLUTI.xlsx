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B INF\AppData\Local\SchoolHub\Workspaces\Scuola\Gestione Progetto Org Impresa\"/>
    </mc:Choice>
  </mc:AlternateContent>
  <xr:revisionPtr revIDLastSave="0" documentId="13_ncr:1_{C967EA88-AD97-4B43-8801-5EF63B1E29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FERIMEN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D16" i="1"/>
  <c r="I7" i="1"/>
  <c r="I8" i="1"/>
  <c r="I9" i="1"/>
  <c r="I10" i="1"/>
  <c r="I11" i="1"/>
  <c r="I12" i="1"/>
  <c r="I13" i="1"/>
  <c r="I14" i="1"/>
  <c r="I15" i="1"/>
  <c r="I6" i="1"/>
  <c r="H7" i="1"/>
  <c r="H8" i="1"/>
  <c r="H9" i="1"/>
  <c r="H10" i="1"/>
  <c r="H11" i="1"/>
  <c r="H12" i="1"/>
  <c r="H13" i="1"/>
  <c r="H14" i="1"/>
  <c r="H15" i="1"/>
  <c r="H6" i="1"/>
  <c r="G7" i="1"/>
  <c r="G8" i="1"/>
  <c r="G9" i="1"/>
  <c r="G10" i="1"/>
  <c r="G11" i="1"/>
  <c r="G12" i="1"/>
  <c r="G13" i="1"/>
  <c r="G14" i="1"/>
  <c r="G15" i="1"/>
  <c r="G6" i="1"/>
  <c r="E7" i="1"/>
  <c r="E8" i="1"/>
  <c r="E9" i="1"/>
  <c r="E10" i="1"/>
  <c r="F10" i="1" s="1"/>
  <c r="E11" i="1"/>
  <c r="F11" i="1" s="1"/>
  <c r="E12" i="1"/>
  <c r="F12" i="1" s="1"/>
  <c r="E13" i="1"/>
  <c r="E14" i="1"/>
  <c r="E15" i="1"/>
  <c r="E6" i="1"/>
  <c r="F6" i="1" s="1"/>
  <c r="F7" i="1"/>
  <c r="F8" i="1"/>
  <c r="F9" i="1"/>
  <c r="F13" i="1"/>
  <c r="F14" i="1"/>
  <c r="F15" i="1"/>
  <c r="D7" i="1"/>
  <c r="D8" i="1"/>
  <c r="D9" i="1"/>
  <c r="D10" i="1"/>
  <c r="D11" i="1"/>
  <c r="D12" i="1"/>
  <c r="D13" i="1"/>
  <c r="D14" i="1"/>
  <c r="D15" i="1"/>
  <c r="D6" i="1"/>
</calcChain>
</file>

<file path=xl/sharedStrings.xml><?xml version="1.0" encoding="utf-8"?>
<sst xmlns="http://schemas.openxmlformats.org/spreadsheetml/2006/main" count="34" uniqueCount="34">
  <si>
    <t>Sconto %*</t>
  </si>
  <si>
    <r>
      <rPr>
        <b/>
        <sz val="14"/>
        <color theme="1"/>
        <rFont val="Calibri"/>
      </rPr>
      <t>Aliquota IVA %</t>
    </r>
  </si>
  <si>
    <t>Soglia spedizione gratuita</t>
  </si>
  <si>
    <r>
      <rPr>
        <b/>
        <sz val="14"/>
        <color rgb="FFFFFFFF"/>
        <rFont val="Calibri"/>
      </rPr>
      <t>Prodotto</t>
    </r>
  </si>
  <si>
    <r>
      <rPr>
        <b/>
        <sz val="14"/>
        <color rgb="FFFFFFFF"/>
        <rFont val="Calibri"/>
      </rPr>
      <t>Prezzo al Kg</t>
    </r>
  </si>
  <si>
    <r>
      <rPr>
        <b/>
        <sz val="14"/>
        <color rgb="FFFFFFFF"/>
        <rFont val="Calibri"/>
      </rPr>
      <t>Quantità in Kg</t>
    </r>
  </si>
  <si>
    <r>
      <rPr>
        <b/>
        <sz val="14"/>
        <color rgb="FFFFFFFF"/>
        <rFont val="Calibri"/>
      </rPr>
      <t>Prezzo</t>
    </r>
  </si>
  <si>
    <t xml:space="preserve">Valore Sconto </t>
  </si>
  <si>
    <r>
      <rPr>
        <b/>
        <sz val="14"/>
        <color rgb="FFFFFFFF"/>
        <rFont val="Calibri"/>
      </rPr>
      <t>Prezzo Scontato</t>
    </r>
  </si>
  <si>
    <t>Valore IVA</t>
  </si>
  <si>
    <r>
      <rPr>
        <b/>
        <sz val="14"/>
        <color rgb="FFFFFFFF"/>
        <rFont val="Calibri"/>
      </rPr>
      <t>Prezzo IVA inclusa</t>
    </r>
  </si>
  <si>
    <t>Spedizione</t>
  </si>
  <si>
    <r>
      <rPr>
        <i/>
        <sz val="14"/>
        <color rgb="FF0E233D"/>
        <rFont val="Calibri"/>
      </rPr>
      <t>Prodotto 1</t>
    </r>
  </si>
  <si>
    <r>
      <rPr>
        <i/>
        <sz val="14"/>
        <color rgb="FF0E233D"/>
        <rFont val="Calibri"/>
      </rPr>
      <t>Prodotto 2</t>
    </r>
  </si>
  <si>
    <r>
      <rPr>
        <i/>
        <sz val="14"/>
        <color rgb="FF0E233D"/>
        <rFont val="Calibri"/>
      </rPr>
      <t>Prodotto 3</t>
    </r>
  </si>
  <si>
    <r>
      <rPr>
        <i/>
        <sz val="14"/>
        <color rgb="FF0E233D"/>
        <rFont val="Calibri"/>
      </rPr>
      <t>Prodotto 4</t>
    </r>
  </si>
  <si>
    <r>
      <rPr>
        <i/>
        <sz val="14"/>
        <color rgb="FF0E233D"/>
        <rFont val="Calibri"/>
      </rPr>
      <t>Prodotto 5</t>
    </r>
  </si>
  <si>
    <r>
      <rPr>
        <i/>
        <sz val="14"/>
        <color rgb="FF0E233D"/>
        <rFont val="Calibri"/>
      </rPr>
      <t>Prodotto 6</t>
    </r>
  </si>
  <si>
    <r>
      <rPr>
        <i/>
        <sz val="14"/>
        <color rgb="FF0E233D"/>
        <rFont val="Calibri"/>
      </rPr>
      <t>Prodotto 7</t>
    </r>
  </si>
  <si>
    <r>
      <rPr>
        <i/>
        <sz val="14"/>
        <color rgb="FF0E233D"/>
        <rFont val="Calibri"/>
      </rPr>
      <t>Prodotto 8</t>
    </r>
  </si>
  <si>
    <r>
      <rPr>
        <i/>
        <sz val="14"/>
        <color rgb="FF0E233D"/>
        <rFont val="Calibri"/>
      </rPr>
      <t>Prodotto 9</t>
    </r>
  </si>
  <si>
    <r>
      <rPr>
        <i/>
        <sz val="14"/>
        <color rgb="FF0E233D"/>
        <rFont val="Calibri"/>
      </rPr>
      <t>Prodotto 10</t>
    </r>
  </si>
  <si>
    <t>TOTALE</t>
  </si>
  <si>
    <t>NOTE PER LA COMPILAZIONE (le lettere indicano le colonne)</t>
  </si>
  <si>
    <t>COLONNA A = Prodotto: nome del prodotto acquistato.</t>
  </si>
  <si>
    <t>COLONNA B = Prezzo al Kg: prezzo di un chilogrammo del prodotto (dato già inserito).</t>
  </si>
  <si>
    <t>COLONNA C = Quantità in Kg: chilogrammi acquistati (dato già inserito).</t>
  </si>
  <si>
    <t>COLONNA D = Prezzo: B moltiplicato per C, riferimenti relativi.</t>
  </si>
  <si>
    <t>COLONNA E = Valore Sconto: D moltiplicato per Sconto % (cella C1), riferimento assoluto.</t>
  </si>
  <si>
    <t>COLONNA F = Prezzo Scontato: D meno E, riferimenti relativi.</t>
  </si>
  <si>
    <t>COLONNA G = Valore IVA: F moltiplicato per Aliquota IVA % (cella C2), riferimento assoluto.</t>
  </si>
  <si>
    <t>COLONNA H = Prezzo IVA inclusa: F più G, riferimenti relativi.</t>
  </si>
  <si>
    <t>COLONNA I = Spedizione: se H è maggiore o uguale alla soglia (cella C3, riferimento assoluto) "Gratuita", altrimenti "A pagamento".</t>
  </si>
  <si>
    <t>RIGA 16 = TOTALE: funzione SOMMA sulle colonne da D a H, su tutti i prodotti.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</si>
</sst>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2]\ #,##0.00"/>
    <numFmt numFmtId="165" formatCode="_-[$€-2]* #,##0.00_-;_-[$€-2]* \-#,##0.00_-;_-[$€-2]* &quot;-&quot;??_-;_-@"/>
    <numFmt numFmtId="166" formatCode="#,##0.000"/>
  </numFmts>
  <fonts count="14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b/>
      <sz val="14"/>
      <color rgb="FF000000"/>
      <name val="Calibri"/>
    </font>
    <font>
      <sz val="14"/>
      <color theme="1"/>
      <name val="Calibri"/>
    </font>
    <font>
      <sz val="14"/>
      <color rgb="FF000000"/>
      <name val="Calibri"/>
    </font>
    <font>
      <b/>
      <sz val="14"/>
      <color rgb="FFFFFFFF"/>
      <name val="Calibri"/>
    </font>
    <font>
      <i/>
      <sz val="14"/>
      <color theme="1"/>
      <name val="Calibri"/>
    </font>
    <font>
      <sz val="14"/>
      <color rgb="FF0E233D"/>
      <name val="Calibri"/>
    </font>
    <font>
      <b/>
      <i/>
      <sz val="14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i/>
      <sz val="14"/>
      <color rgb="FF0E233D"/>
      <name val="Calibri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9" fontId="3" fillId="2" borderId="3" xfId="0" applyNumberFormat="1" applyFont="1" applyFill="1" applyBorder="1" applyAlignment="1">
      <alignment horizontal="right" vertical="top" shrinkToFi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64" fontId="3" fillId="2" borderId="3" xfId="0" applyNumberFormat="1" applyFont="1" applyFill="1" applyBorder="1" applyAlignment="1">
      <alignment horizontal="right" vertical="top" shrinkToFit="1"/>
    </xf>
    <xf numFmtId="0" fontId="1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165" fontId="8" fillId="4" borderId="0" xfId="0" applyNumberFormat="1" applyFont="1" applyFill="1" applyAlignment="1">
      <alignment horizontal="left" vertical="top" shrinkToFit="1"/>
    </xf>
    <xf numFmtId="166" fontId="8" fillId="4" borderId="0" xfId="0" applyNumberFormat="1" applyFont="1" applyFill="1" applyAlignment="1">
      <alignment horizontal="right" vertical="top" shrinkToFit="1"/>
    </xf>
    <xf numFmtId="164" fontId="5" fillId="4" borderId="0" xfId="0" applyNumberFormat="1" applyFont="1" applyFill="1" applyAlignment="1">
      <alignment horizontal="right" wrapText="1"/>
    </xf>
    <xf numFmtId="0" fontId="5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vertical="top" wrapText="1"/>
    </xf>
    <xf numFmtId="165" fontId="8" fillId="5" borderId="0" xfId="0" applyNumberFormat="1" applyFont="1" applyFill="1" applyAlignment="1">
      <alignment horizontal="left" vertical="top" shrinkToFit="1"/>
    </xf>
    <xf numFmtId="166" fontId="8" fillId="5" borderId="0" xfId="0" applyNumberFormat="1" applyFont="1" applyFill="1" applyAlignment="1">
      <alignment horizontal="right" vertical="top" shrinkToFi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vertical="top"/>
    </xf>
    <xf numFmtId="0" fontId="9" fillId="4" borderId="0" xfId="0" applyFont="1" applyFill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64" fontId="5" fillId="4" borderId="0" xfId="0" applyNumberFormat="1" applyFont="1" applyFill="1" applyAlignment="1">
      <alignment horizontal="left" wrapText="1"/>
    </xf>
    <xf numFmtId="164" fontId="13" fillId="4" borderId="0" xfId="0" applyNumberFormat="1" applyFont="1" applyFill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workbookViewId="0">
      <selection activeCell="B28" sqref="B28"/>
    </sheetView>
  </sheetViews>
  <sheetFormatPr defaultColWidth="14.42578125" defaultRowHeight="15" customHeight="1" x14ac:dyDescent="0.2"/>
  <cols>
    <col min="1" max="1" width="17.42578125" customWidth="1"/>
    <col min="2" max="2" width="14.140625" customWidth="1"/>
    <col min="3" max="3" width="16.85546875" customWidth="1"/>
    <col min="4" max="4" width="11.140625" customWidth="1"/>
    <col min="5" max="5" width="12.28515625" customWidth="1"/>
    <col min="6" max="6" width="18.5703125" customWidth="1"/>
    <col min="7" max="7" width="14.5703125" customWidth="1"/>
    <col min="8" max="9" width="21" customWidth="1"/>
    <col min="10" max="28" width="8.7109375" customWidth="1"/>
  </cols>
  <sheetData>
    <row r="1" spans="1:28" ht="21" customHeight="1" x14ac:dyDescent="0.2">
      <c r="A1" s="15" t="s">
        <v>0</v>
      </c>
      <c r="B1" s="16"/>
      <c r="C1" s="1">
        <v>0.05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1" customHeight="1" x14ac:dyDescent="0.2">
      <c r="A2" s="15" t="s">
        <v>1</v>
      </c>
      <c r="B2" s="16"/>
      <c r="C2" s="1">
        <v>0.22</v>
      </c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8.75" x14ac:dyDescent="0.2">
      <c r="A3" s="15" t="s">
        <v>2</v>
      </c>
      <c r="B3" s="16"/>
      <c r="C3" s="4">
        <v>10</v>
      </c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2.75" customHeight="1" x14ac:dyDescent="0.3">
      <c r="A4" s="17"/>
      <c r="B4" s="18"/>
      <c r="C4" s="18"/>
      <c r="D4" s="18"/>
      <c r="E4" s="18"/>
      <c r="F4" s="18"/>
      <c r="G4" s="18"/>
      <c r="H4" s="18"/>
      <c r="I4" s="1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37.5" x14ac:dyDescent="0.2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  <c r="F5" s="5" t="s">
        <v>8</v>
      </c>
      <c r="G5" s="6" t="s">
        <v>9</v>
      </c>
      <c r="H5" s="5" t="s">
        <v>10</v>
      </c>
      <c r="I5" s="5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21.75" customHeight="1" x14ac:dyDescent="0.3">
      <c r="A6" s="7" t="s">
        <v>12</v>
      </c>
      <c r="B6" s="8">
        <v>1.8</v>
      </c>
      <c r="C6" s="9">
        <v>2</v>
      </c>
      <c r="D6" s="10">
        <f>B6*C6</f>
        <v>3.6</v>
      </c>
      <c r="E6" s="22">
        <f>D6*$C$1</f>
        <v>0.18000000000000002</v>
      </c>
      <c r="F6" s="22">
        <f>D6-E6</f>
        <v>3.42</v>
      </c>
      <c r="G6" s="23">
        <f>F6*$C$2</f>
        <v>0.75239999999999996</v>
      </c>
      <c r="H6" s="22">
        <f>F6+G6</f>
        <v>4.1723999999999997</v>
      </c>
      <c r="I6" s="11" t="str">
        <f>IF(H6&gt;=$C$3,"Gratuita","A Pagamento")</f>
        <v>A Pagamento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8.75" customHeight="1" x14ac:dyDescent="0.3">
      <c r="A7" s="12" t="s">
        <v>13</v>
      </c>
      <c r="B7" s="13">
        <v>12.5</v>
      </c>
      <c r="C7" s="14">
        <v>1.2</v>
      </c>
      <c r="D7" s="10">
        <f t="shared" ref="D7:D15" si="0">B7*C7</f>
        <v>15</v>
      </c>
      <c r="E7" s="22">
        <f t="shared" ref="E7:E16" si="1">D7*$C$1</f>
        <v>0.75</v>
      </c>
      <c r="F7" s="22">
        <f t="shared" ref="F7:F16" si="2">D7-E7</f>
        <v>14.25</v>
      </c>
      <c r="G7" s="23">
        <f t="shared" ref="G7:G16" si="3">F7*$C$2</f>
        <v>3.1350000000000002</v>
      </c>
      <c r="H7" s="22">
        <f t="shared" ref="H7:H16" si="4">F7+G7</f>
        <v>17.385000000000002</v>
      </c>
      <c r="I7" s="11" t="str">
        <f t="shared" ref="I7:I16" si="5">IF(H7&gt;=$C$3,"Gratuita","A Pagamento")</f>
        <v>Gratuita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21.75" customHeight="1" x14ac:dyDescent="0.3">
      <c r="A8" s="7" t="s">
        <v>14</v>
      </c>
      <c r="B8" s="8">
        <v>2.4</v>
      </c>
      <c r="C8" s="9">
        <v>2.4</v>
      </c>
      <c r="D8" s="10">
        <f t="shared" si="0"/>
        <v>5.76</v>
      </c>
      <c r="E8" s="22">
        <f t="shared" si="1"/>
        <v>0.28799999999999998</v>
      </c>
      <c r="F8" s="22">
        <f t="shared" si="2"/>
        <v>5.4719999999999995</v>
      </c>
      <c r="G8" s="23">
        <f t="shared" si="3"/>
        <v>1.2038399999999998</v>
      </c>
      <c r="H8" s="22">
        <f t="shared" si="4"/>
        <v>6.6758399999999991</v>
      </c>
      <c r="I8" s="11" t="str">
        <f t="shared" si="5"/>
        <v>A Pagamento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21.75" customHeight="1" x14ac:dyDescent="0.3">
      <c r="A9" s="12" t="s">
        <v>15</v>
      </c>
      <c r="B9" s="13">
        <v>14.3</v>
      </c>
      <c r="C9" s="14">
        <v>0.5</v>
      </c>
      <c r="D9" s="10">
        <f t="shared" si="0"/>
        <v>7.15</v>
      </c>
      <c r="E9" s="22">
        <f t="shared" si="1"/>
        <v>0.35750000000000004</v>
      </c>
      <c r="F9" s="22">
        <f t="shared" si="2"/>
        <v>6.7925000000000004</v>
      </c>
      <c r="G9" s="23">
        <f t="shared" si="3"/>
        <v>1.4943500000000001</v>
      </c>
      <c r="H9" s="22">
        <f t="shared" si="4"/>
        <v>8.2868500000000012</v>
      </c>
      <c r="I9" s="11" t="str">
        <f t="shared" si="5"/>
        <v>A Pagamento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21.75" customHeight="1" x14ac:dyDescent="0.3">
      <c r="A10" s="7" t="s">
        <v>16</v>
      </c>
      <c r="B10" s="8">
        <v>12.3</v>
      </c>
      <c r="C10" s="9">
        <v>0.2</v>
      </c>
      <c r="D10" s="10">
        <f t="shared" si="0"/>
        <v>2.4600000000000004</v>
      </c>
      <c r="E10" s="22">
        <f t="shared" si="1"/>
        <v>0.12300000000000003</v>
      </c>
      <c r="F10" s="22">
        <f t="shared" si="2"/>
        <v>2.3370000000000002</v>
      </c>
      <c r="G10" s="23">
        <f t="shared" si="3"/>
        <v>0.51414000000000004</v>
      </c>
      <c r="H10" s="22">
        <f t="shared" si="4"/>
        <v>2.85114</v>
      </c>
      <c r="I10" s="11" t="str">
        <f t="shared" si="5"/>
        <v>A Pagamento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21.75" customHeight="1" x14ac:dyDescent="0.3">
      <c r="A11" s="12" t="s">
        <v>17</v>
      </c>
      <c r="B11" s="13">
        <v>7.9</v>
      </c>
      <c r="C11" s="14">
        <v>1.2</v>
      </c>
      <c r="D11" s="10">
        <f t="shared" si="0"/>
        <v>9.48</v>
      </c>
      <c r="E11" s="22">
        <f t="shared" si="1"/>
        <v>0.47400000000000003</v>
      </c>
      <c r="F11" s="22">
        <f t="shared" si="2"/>
        <v>9.0060000000000002</v>
      </c>
      <c r="G11" s="23">
        <f t="shared" si="3"/>
        <v>1.98132</v>
      </c>
      <c r="H11" s="22">
        <f t="shared" si="4"/>
        <v>10.98732</v>
      </c>
      <c r="I11" s="11" t="str">
        <f t="shared" si="5"/>
        <v>Gratuita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21.75" customHeight="1" x14ac:dyDescent="0.3">
      <c r="A12" s="7" t="s">
        <v>18</v>
      </c>
      <c r="B12" s="8">
        <v>2.8</v>
      </c>
      <c r="C12" s="9">
        <v>1.8</v>
      </c>
      <c r="D12" s="10">
        <f t="shared" si="0"/>
        <v>5.04</v>
      </c>
      <c r="E12" s="22">
        <f t="shared" si="1"/>
        <v>0.252</v>
      </c>
      <c r="F12" s="22">
        <f t="shared" si="2"/>
        <v>4.7880000000000003</v>
      </c>
      <c r="G12" s="23">
        <f t="shared" si="3"/>
        <v>1.0533600000000001</v>
      </c>
      <c r="H12" s="22">
        <f t="shared" si="4"/>
        <v>5.8413599999999999</v>
      </c>
      <c r="I12" s="11" t="str">
        <f t="shared" si="5"/>
        <v>A Pagamento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21.75" customHeight="1" x14ac:dyDescent="0.3">
      <c r="A13" s="12" t="s">
        <v>19</v>
      </c>
      <c r="B13" s="13">
        <v>3.5</v>
      </c>
      <c r="C13" s="14">
        <v>1.4</v>
      </c>
      <c r="D13" s="10">
        <f t="shared" si="0"/>
        <v>4.8999999999999995</v>
      </c>
      <c r="E13" s="22">
        <f t="shared" si="1"/>
        <v>0.245</v>
      </c>
      <c r="F13" s="22">
        <f t="shared" si="2"/>
        <v>4.6549999999999994</v>
      </c>
      <c r="G13" s="23">
        <f t="shared" si="3"/>
        <v>1.0240999999999998</v>
      </c>
      <c r="H13" s="22">
        <f t="shared" si="4"/>
        <v>5.6790999999999991</v>
      </c>
      <c r="I13" s="11" t="str">
        <f t="shared" si="5"/>
        <v>A Pagamento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1.75" customHeight="1" x14ac:dyDescent="0.3">
      <c r="A14" s="7" t="s">
        <v>20</v>
      </c>
      <c r="B14" s="8">
        <v>21.7</v>
      </c>
      <c r="C14" s="9">
        <v>0.4</v>
      </c>
      <c r="D14" s="10">
        <f t="shared" si="0"/>
        <v>8.68</v>
      </c>
      <c r="E14" s="22">
        <f t="shared" si="1"/>
        <v>0.434</v>
      </c>
      <c r="F14" s="22">
        <f t="shared" si="2"/>
        <v>8.2460000000000004</v>
      </c>
      <c r="G14" s="23">
        <f t="shared" si="3"/>
        <v>1.8141200000000002</v>
      </c>
      <c r="H14" s="22">
        <f t="shared" si="4"/>
        <v>10.060120000000001</v>
      </c>
      <c r="I14" s="11" t="str">
        <f t="shared" si="5"/>
        <v>Gratuita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21.75" customHeight="1" x14ac:dyDescent="0.3">
      <c r="A15" s="12" t="s">
        <v>21</v>
      </c>
      <c r="B15" s="13">
        <v>3.9</v>
      </c>
      <c r="C15" s="14">
        <v>2.2000000000000002</v>
      </c>
      <c r="D15" s="10">
        <f t="shared" si="0"/>
        <v>8.58</v>
      </c>
      <c r="E15" s="22">
        <f t="shared" si="1"/>
        <v>0.42900000000000005</v>
      </c>
      <c r="F15" s="22">
        <f t="shared" si="2"/>
        <v>8.1509999999999998</v>
      </c>
      <c r="G15" s="23">
        <f t="shared" si="3"/>
        <v>1.79322</v>
      </c>
      <c r="H15" s="22">
        <f t="shared" si="4"/>
        <v>9.9442199999999996</v>
      </c>
      <c r="I15" s="11" t="str">
        <f t="shared" si="5"/>
        <v>A Pagamento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25.5" customHeight="1" x14ac:dyDescent="0.3">
      <c r="A16" s="19" t="s">
        <v>22</v>
      </c>
      <c r="B16" s="18"/>
      <c r="C16" s="18"/>
      <c r="D16" s="22">
        <f>SUM(D6,D7,D8,D9,D10,D11,D12,D13,D14,D15)</f>
        <v>70.650000000000006</v>
      </c>
      <c r="E16" s="11"/>
      <c r="F16" s="11"/>
      <c r="G16" s="11"/>
      <c r="H16" s="22">
        <f>SUM(H6,H7,H8,H9,H10,H11,H12,H13,H14,H15)</f>
        <v>81.883350000000007</v>
      </c>
      <c r="I16" s="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9.5" customHeight="1" x14ac:dyDescent="0.2">
      <c r="A17" s="20" t="s">
        <v>23</v>
      </c>
      <c r="B17" s="18"/>
      <c r="C17" s="18"/>
      <c r="D17" s="18"/>
      <c r="E17" s="18"/>
      <c r="F17" s="18"/>
      <c r="G17" s="18"/>
      <c r="H17" s="18"/>
      <c r="I17" s="1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9.5" customHeight="1" x14ac:dyDescent="0.2">
      <c r="A18" s="21" t="s">
        <v>24</v>
      </c>
      <c r="B18" s="18"/>
      <c r="C18" s="18"/>
      <c r="D18" s="18"/>
      <c r="E18" s="18"/>
      <c r="F18" s="18"/>
      <c r="G18" s="18"/>
      <c r="H18" s="18"/>
      <c r="I18" s="1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9.5" customHeight="1" x14ac:dyDescent="0.2">
      <c r="A19" s="21" t="s">
        <v>25</v>
      </c>
      <c r="B19" s="18"/>
      <c r="C19" s="18"/>
      <c r="D19" s="18"/>
      <c r="E19" s="18"/>
      <c r="F19" s="18"/>
      <c r="G19" s="18"/>
      <c r="H19" s="18"/>
      <c r="I19" s="1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9.5" customHeight="1" x14ac:dyDescent="0.2">
      <c r="A20" s="21" t="s">
        <v>26</v>
      </c>
      <c r="B20" s="18"/>
      <c r="C20" s="18"/>
      <c r="D20" s="18"/>
      <c r="E20" s="18"/>
      <c r="F20" s="18"/>
      <c r="G20" s="18"/>
      <c r="H20" s="18"/>
      <c r="I20" s="1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9.5" customHeight="1" x14ac:dyDescent="0.2">
      <c r="A21" s="21" t="s">
        <v>27</v>
      </c>
      <c r="B21" s="18"/>
      <c r="C21" s="18"/>
      <c r="D21" s="18"/>
      <c r="E21" s="18"/>
      <c r="F21" s="18"/>
      <c r="G21" s="18"/>
      <c r="H21" s="18"/>
      <c r="I21" s="1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9.5" customHeight="1" x14ac:dyDescent="0.2">
      <c r="A22" s="21" t="s">
        <v>28</v>
      </c>
      <c r="B22" s="18"/>
      <c r="C22" s="18"/>
      <c r="D22" s="18"/>
      <c r="E22" s="18"/>
      <c r="F22" s="18"/>
      <c r="G22" s="18"/>
      <c r="H22" s="18"/>
      <c r="I22" s="1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9.5" customHeight="1" x14ac:dyDescent="0.2">
      <c r="A23" s="21" t="s">
        <v>29</v>
      </c>
      <c r="B23" s="18"/>
      <c r="C23" s="18"/>
      <c r="D23" s="18"/>
      <c r="E23" s="18"/>
      <c r="F23" s="18"/>
      <c r="G23" s="18"/>
      <c r="H23" s="18"/>
      <c r="I23" s="1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9.5" customHeight="1" x14ac:dyDescent="0.2">
      <c r="A24" s="21" t="s">
        <v>30</v>
      </c>
      <c r="B24" s="18"/>
      <c r="C24" s="18"/>
      <c r="D24" s="18"/>
      <c r="E24" s="18"/>
      <c r="F24" s="18"/>
      <c r="G24" s="18"/>
      <c r="H24" s="18"/>
      <c r="I24" s="1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9.5" customHeight="1" x14ac:dyDescent="0.2">
      <c r="A25" s="21" t="s">
        <v>31</v>
      </c>
      <c r="B25" s="18"/>
      <c r="C25" s="18"/>
      <c r="D25" s="18"/>
      <c r="E25" s="18"/>
      <c r="F25" s="18"/>
      <c r="G25" s="18"/>
      <c r="H25" s="18"/>
      <c r="I25" s="1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9.5" customHeight="1" x14ac:dyDescent="0.2">
      <c r="A26" s="21" t="s">
        <v>32</v>
      </c>
      <c r="B26" s="18"/>
      <c r="C26" s="18"/>
      <c r="D26" s="18"/>
      <c r="E26" s="18"/>
      <c r="F26" s="18"/>
      <c r="G26" s="18"/>
      <c r="H26" s="18"/>
      <c r="I26" s="1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9.5" customHeight="1" x14ac:dyDescent="0.2">
      <c r="A27" s="21" t="s">
        <v>33</v>
      </c>
      <c r="B27" s="18"/>
      <c r="C27" s="18"/>
      <c r="D27" s="18"/>
      <c r="E27" s="18"/>
      <c r="F27" s="18"/>
      <c r="G27" s="18"/>
      <c r="H27" s="18"/>
      <c r="I27" s="1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2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6">
    <mergeCell ref="A17:I17"/>
    <mergeCell ref="A18:I18"/>
    <mergeCell ref="A26:I26"/>
    <mergeCell ref="A27:I27"/>
    <mergeCell ref="A19:I19"/>
    <mergeCell ref="A20:I20"/>
    <mergeCell ref="A21:I21"/>
    <mergeCell ref="A22:I22"/>
    <mergeCell ref="A23:I23"/>
    <mergeCell ref="A24:I24"/>
    <mergeCell ref="A25:I25"/>
    <mergeCell ref="A1:B1"/>
    <mergeCell ref="A2:B2"/>
    <mergeCell ref="A3:B3"/>
    <mergeCell ref="A4:I4"/>
    <mergeCell ref="A16:C1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RIFERIMENTI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5B INF</cp:lastModifiedBy>
  <dcterms:modified xsi:type="dcterms:W3CDTF">2026-10-08T09:07:14Z</dcterms:modified>
</cp:coreProperties>
</file>