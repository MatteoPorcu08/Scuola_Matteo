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5B INF\AppData\Local\SchoolHub\Workspaces\Scuola\Gestione Progetto Org Impresa\"/>
    </mc:Choice>
  </mc:AlternateContent>
  <xr:revisionPtr revIDLastSave="0" documentId="8_{C1FE154E-CE4A-41B8-984F-CBA9F97BD4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8" i="1"/>
  <c r="C17" i="1"/>
  <c r="B17" i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E17" i="1" l="1"/>
  <c r="E16" i="1"/>
  <c r="E18" i="1" s="1"/>
</calcChain>
</file>

<file path=xl/sharedStrings.xml><?xml version="1.0" encoding="utf-8"?>
<sst xmlns="http://schemas.openxmlformats.org/spreadsheetml/2006/main" count="31" uniqueCount="30">
  <si>
    <t>- Su un foglio elettronico, si scrivano i seguenti dati relativi alla prova scritta e orale dell’esame di Informatica di 13 Studenti:</t>
  </si>
  <si>
    <r>
      <rPr>
        <b/>
        <sz val="12"/>
        <color theme="1"/>
        <rFont val="Titillium Web"/>
      </rPr>
      <t>Cognome e Nome</t>
    </r>
  </si>
  <si>
    <r>
      <rPr>
        <b/>
        <sz val="12"/>
        <color theme="1"/>
        <rFont val="Titillium Web"/>
      </rPr>
      <t>Prova Scritta</t>
    </r>
  </si>
  <si>
    <r>
      <rPr>
        <b/>
        <sz val="12"/>
        <color theme="1"/>
        <rFont val="Titillium Web"/>
      </rPr>
      <t>Prova Orale</t>
    </r>
  </si>
  <si>
    <r>
      <rPr>
        <b/>
        <sz val="12"/>
        <color theme="1"/>
        <rFont val="Titillium Web"/>
      </rPr>
      <t>Media</t>
    </r>
  </si>
  <si>
    <r>
      <rPr>
        <b/>
        <sz val="12"/>
        <color theme="1"/>
        <rFont val="Titillium Web"/>
      </rPr>
      <t>Esito</t>
    </r>
  </si>
  <si>
    <r>
      <rPr>
        <b/>
        <sz val="12"/>
        <color theme="1"/>
        <rFont val="Titillium Web"/>
      </rPr>
      <t>Bianchi Ottavio</t>
    </r>
  </si>
  <si>
    <r>
      <rPr>
        <b/>
        <sz val="12"/>
        <color theme="1"/>
        <rFont val="Titillium Web"/>
      </rPr>
      <t>Bianchi Vittoria</t>
    </r>
  </si>
  <si>
    <r>
      <rPr>
        <b/>
        <sz val="12"/>
        <color theme="1"/>
        <rFont val="Titillium Web"/>
      </rPr>
      <t>Blanco Roberto</t>
    </r>
  </si>
  <si>
    <r>
      <rPr>
        <b/>
        <sz val="12"/>
        <color theme="1"/>
        <rFont val="Titillium Web"/>
      </rPr>
      <t>Gandini Andrea</t>
    </r>
  </si>
  <si>
    <r>
      <rPr>
        <b/>
        <sz val="12"/>
        <color theme="1"/>
        <rFont val="Titillium Web"/>
      </rPr>
      <t>Giusti Rachele</t>
    </r>
  </si>
  <si>
    <r>
      <rPr>
        <b/>
        <sz val="12"/>
        <color theme="1"/>
        <rFont val="Titillium Web"/>
      </rPr>
      <t>Marrone Stefano</t>
    </r>
  </si>
  <si>
    <r>
      <rPr>
        <b/>
        <sz val="12"/>
        <color theme="1"/>
        <rFont val="Titillium Web"/>
      </rPr>
      <t>Mondini Roberto</t>
    </r>
  </si>
  <si>
    <r>
      <rPr>
        <b/>
        <sz val="12"/>
        <color theme="1"/>
        <rFont val="Titillium Web"/>
      </rPr>
      <t>Nodi Luca</t>
    </r>
  </si>
  <si>
    <r>
      <rPr>
        <b/>
        <sz val="12"/>
        <color theme="1"/>
        <rFont val="Titillium Web"/>
      </rPr>
      <t>Rossi Mario</t>
    </r>
  </si>
  <si>
    <r>
      <rPr>
        <b/>
        <sz val="12"/>
        <color theme="1"/>
        <rFont val="Titillium Web"/>
      </rPr>
      <t>Rossi Paolo</t>
    </r>
  </si>
  <si>
    <r>
      <rPr>
        <b/>
        <sz val="12"/>
        <color theme="1"/>
        <rFont val="Titillium Web"/>
      </rPr>
      <t>Tenaglie Sandro</t>
    </r>
  </si>
  <si>
    <r>
      <rPr>
        <b/>
        <sz val="12"/>
        <color theme="1"/>
        <rFont val="Titillium Web"/>
      </rPr>
      <t>Vallesi Elvira</t>
    </r>
  </si>
  <si>
    <r>
      <rPr>
        <b/>
        <sz val="12"/>
        <color theme="1"/>
        <rFont val="Titillium Web"/>
      </rPr>
      <t>Verdi Giuseppe</t>
    </r>
  </si>
  <si>
    <t>PROVA
SCRITTA</t>
  </si>
  <si>
    <t>PROVA
ORALE</t>
  </si>
  <si>
    <r>
      <rPr>
        <b/>
        <sz val="12"/>
        <color theme="1"/>
        <rFont val="Titillium Web"/>
      </rPr>
      <t>NUMERO PROMOSSI</t>
    </r>
  </si>
  <si>
    <r>
      <rPr>
        <b/>
        <sz val="12"/>
        <color rgb="FF000000"/>
        <rFont val="Titillium Web"/>
      </rPr>
      <t xml:space="preserve">NUMERO
</t>
    </r>
    <r>
      <rPr>
        <b/>
        <sz val="12"/>
        <color rgb="FF000000"/>
        <rFont val="Titillium Web"/>
      </rPr>
      <t>SUFFICIENZE</t>
    </r>
  </si>
  <si>
    <r>
      <rPr>
        <b/>
        <sz val="12"/>
        <color theme="1"/>
        <rFont val="Titillium Web"/>
      </rPr>
      <t>NUMERO BOCCIATI</t>
    </r>
  </si>
  <si>
    <r>
      <rPr>
        <b/>
        <sz val="12"/>
        <color rgb="FF000000"/>
        <rFont val="Titillium Web"/>
      </rPr>
      <t xml:space="preserve">NUMERO
</t>
    </r>
    <r>
      <rPr>
        <b/>
        <sz val="12"/>
        <color rgb="FF000000"/>
        <rFont val="Titillium Web"/>
      </rPr>
      <t>INSUFFICIENZE</t>
    </r>
  </si>
  <si>
    <r>
      <rPr>
        <b/>
        <sz val="12"/>
        <color rgb="FF000000"/>
        <rFont val="Titillium Web"/>
      </rPr>
      <t xml:space="preserve">MAGGIORANZA
</t>
    </r>
    <r>
      <rPr>
        <b/>
        <sz val="12"/>
        <color rgb="FF000000"/>
        <rFont val="Titillium Web"/>
      </rPr>
      <t>(PROMOSSI/BOCCIATI)</t>
    </r>
  </si>
  <si>
    <r>
      <rPr>
        <sz val="12"/>
        <color theme="1"/>
        <rFont val="Titillium Web"/>
      </rPr>
      <t>Si definiscano inoltre, sempre con le opportune formule:</t>
    </r>
  </si>
  <si>
    <r>
      <rPr>
        <sz val="12"/>
        <color theme="1"/>
        <rFont val="Titillium Web"/>
      </rPr>
      <t xml:space="preserve">❋  Il </t>
    </r>
    <r>
      <rPr>
        <b/>
        <sz val="12"/>
        <color theme="1"/>
        <rFont val="Titillium Web"/>
      </rPr>
      <t xml:space="preserve">numero di sufficienze </t>
    </r>
    <r>
      <rPr>
        <sz val="12"/>
        <color theme="1"/>
        <rFont val="Titillium Web"/>
      </rPr>
      <t xml:space="preserve">(VOTO&gt;=18) per la prova scritta e orale;
❋  Il </t>
    </r>
    <r>
      <rPr>
        <b/>
        <sz val="12"/>
        <color theme="1"/>
        <rFont val="Titillium Web"/>
      </rPr>
      <t xml:space="preserve">numero di insufficienze </t>
    </r>
    <r>
      <rPr>
        <sz val="12"/>
        <color theme="1"/>
        <rFont val="Titillium Web"/>
      </rPr>
      <t xml:space="preserve">(VOTO&lt;18) per la prova scritta e orale;
❋  Il </t>
    </r>
    <r>
      <rPr>
        <b/>
        <sz val="12"/>
        <color theme="1"/>
        <rFont val="Titillium Web"/>
      </rPr>
      <t xml:space="preserve">numero di promossi </t>
    </r>
    <r>
      <rPr>
        <sz val="12"/>
        <color theme="1"/>
        <rFont val="Titillium Web"/>
      </rPr>
      <t xml:space="preserve">(ESITO="PROMOSSO");
❋  Il </t>
    </r>
    <r>
      <rPr>
        <b/>
        <sz val="12"/>
        <color theme="1"/>
        <rFont val="Titillium Web"/>
      </rPr>
      <t xml:space="preserve">numero di bocciati </t>
    </r>
    <r>
      <rPr>
        <sz val="12"/>
        <color theme="1"/>
        <rFont val="Titillium Web"/>
      </rPr>
      <t xml:space="preserve">(ESITO="BOCCIATO");
❋  La </t>
    </r>
    <r>
      <rPr>
        <b/>
        <sz val="12"/>
        <color theme="1"/>
        <rFont val="Titillium Web"/>
      </rPr>
      <t xml:space="preserve">Maggioranza </t>
    </r>
    <r>
      <rPr>
        <sz val="12"/>
        <color theme="1"/>
        <rFont val="Titillium Web"/>
      </rPr>
      <t>nel modo seguente:
-    "</t>
    </r>
    <r>
      <rPr>
        <i/>
        <sz val="12"/>
        <color theme="1"/>
        <rFont val="Titillium Web"/>
      </rPr>
      <t>PROMOSSI</t>
    </r>
    <r>
      <rPr>
        <sz val="12"/>
        <color theme="1"/>
        <rFont val="Titillium Web"/>
      </rPr>
      <t>" se il numero di promossi è maggiore rispetto a quello dei bocciati;
-    "</t>
    </r>
    <r>
      <rPr>
        <i/>
        <sz val="12"/>
        <color theme="1"/>
        <rFont val="Titillium Web"/>
      </rPr>
      <t xml:space="preserve">BOCCIATI" </t>
    </r>
    <r>
      <rPr>
        <sz val="12"/>
        <color theme="1"/>
        <rFont val="Titillium Web"/>
      </rPr>
      <t>nell’altro caso.</t>
    </r>
  </si>
  <si>
    <r>
      <t xml:space="preserve">❋  La </t>
    </r>
    <r>
      <rPr>
        <b/>
        <sz val="12"/>
        <color theme="1"/>
        <rFont val="Titillium Web"/>
      </rPr>
      <t xml:space="preserve">media </t>
    </r>
    <r>
      <rPr>
        <sz val="12"/>
        <color theme="1"/>
        <rFont val="Titillium Web"/>
      </rPr>
      <t>tra la prova scritta e quella orale;
❋  L’</t>
    </r>
    <r>
      <rPr>
        <b/>
        <sz val="12"/>
        <color theme="1"/>
        <rFont val="Titillium Web"/>
      </rPr>
      <t xml:space="preserve">esito </t>
    </r>
    <r>
      <rPr>
        <sz val="12"/>
        <color theme="1"/>
        <rFont val="Titillium Web"/>
      </rPr>
      <t>nel modo seguente:
-   "</t>
    </r>
    <r>
      <rPr>
        <i/>
        <sz val="12"/>
        <color theme="1"/>
        <rFont val="Titillium Web"/>
      </rPr>
      <t>PROMOSSO</t>
    </r>
    <r>
      <rPr>
        <sz val="12"/>
        <color theme="1"/>
        <rFont val="Titillium Web"/>
      </rPr>
      <t>" se la media risulta uguale o superiore a 18;
-   "</t>
    </r>
    <r>
      <rPr>
        <i/>
        <sz val="12"/>
        <color theme="1"/>
        <rFont val="Titillium Web"/>
      </rPr>
      <t>BOCCIATO</t>
    </r>
    <r>
      <rPr>
        <sz val="12"/>
        <color theme="1"/>
        <rFont val="Titillium Web"/>
      </rPr>
      <t>" negli altri casi.</t>
    </r>
  </si>
  <si>
    <r>
      <t xml:space="preserve">Per ciascun </t>
    </r>
    <r>
      <rPr>
        <b/>
        <sz val="12"/>
        <color rgb="FF000000"/>
        <rFont val="Titillium Web"/>
      </rPr>
      <t>CANDIDATO</t>
    </r>
    <r>
      <rPr>
        <sz val="12"/>
        <color rgb="FF000000"/>
        <rFont val="Titillium Web"/>
      </rPr>
      <t>, con le opportune formule, si calcoli: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</si>
</sst>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sz val="12"/>
      <color theme="1"/>
      <name val="Titillium Web"/>
    </font>
    <font>
      <b/>
      <sz val="12"/>
      <color theme="1"/>
      <name val="Titillium Web"/>
    </font>
    <font>
      <b/>
      <sz val="12"/>
      <color rgb="FF000000"/>
      <name val="Titillium Web"/>
    </font>
    <font>
      <sz val="12"/>
      <color rgb="FF000000"/>
      <name val="Titillium Web"/>
    </font>
    <font>
      <i/>
      <sz val="12"/>
      <color theme="1"/>
      <name val="Titillium Web"/>
    </font>
  </fonts>
  <fills count="5">
    <fill>
      <patternFill patternType="none"/>
    </fill>
    <fill>
      <patternFill patternType="gray125"/>
    </fill>
    <fill>
      <patternFill patternType="solid">
        <fgColor rgb="FFCCFF99"/>
        <bgColor rgb="FFCCFF99"/>
      </patternFill>
    </fill>
    <fill>
      <patternFill patternType="solid">
        <fgColor rgb="FFCCFFFF"/>
        <bgColor rgb="FFCCFFFF"/>
      </patternFill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1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7" sqref="B17"/>
    </sheetView>
  </sheetViews>
  <sheetFormatPr defaultColWidth="14.42578125" defaultRowHeight="15" customHeight="1" x14ac:dyDescent="0.2"/>
  <cols>
    <col min="1" max="5" width="31.5703125" customWidth="1"/>
    <col min="6" max="26" width="8.7109375" customWidth="1"/>
  </cols>
  <sheetData>
    <row r="1" spans="1:26" ht="15" customHeight="1" x14ac:dyDescent="0.2">
      <c r="A1" s="15" t="s">
        <v>0</v>
      </c>
      <c r="B1" s="16"/>
      <c r="C1" s="16"/>
      <c r="D1" s="16"/>
      <c r="E1" s="1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4" t="s">
        <v>6</v>
      </c>
      <c r="B3" s="5">
        <v>28</v>
      </c>
      <c r="C3" s="5">
        <v>12</v>
      </c>
      <c r="D3" s="6">
        <f t="shared" ref="D3:D15" si="0">AVERAGE(B3,C3)</f>
        <v>20</v>
      </c>
      <c r="E3" s="7" t="str">
        <f t="shared" ref="E3:E15" si="1">IF(D3&gt;18,"PROMOSSO", "BOCCIATO")</f>
        <v>PROMOSSO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 t="s">
        <v>7</v>
      </c>
      <c r="B4" s="5">
        <v>19</v>
      </c>
      <c r="C4" s="5">
        <v>15</v>
      </c>
      <c r="D4" s="6">
        <f t="shared" si="0"/>
        <v>17</v>
      </c>
      <c r="E4" s="7" t="str">
        <f t="shared" si="1"/>
        <v>BOCCIATO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4" t="s">
        <v>8</v>
      </c>
      <c r="B5" s="5">
        <v>17</v>
      </c>
      <c r="C5" s="5">
        <v>24</v>
      </c>
      <c r="D5" s="6">
        <f t="shared" si="0"/>
        <v>20.5</v>
      </c>
      <c r="E5" s="7" t="str">
        <f t="shared" si="1"/>
        <v>PROMOSSO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4" t="s">
        <v>9</v>
      </c>
      <c r="B6" s="5">
        <v>16</v>
      </c>
      <c r="C6" s="5">
        <v>18</v>
      </c>
      <c r="D6" s="6">
        <f t="shared" si="0"/>
        <v>17</v>
      </c>
      <c r="E6" s="7" t="str">
        <f t="shared" si="1"/>
        <v>BOCCIATO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4" t="s">
        <v>10</v>
      </c>
      <c r="B7" s="5">
        <v>13</v>
      </c>
      <c r="C7" s="5">
        <v>29</v>
      </c>
      <c r="D7" s="6">
        <f t="shared" si="0"/>
        <v>21</v>
      </c>
      <c r="E7" s="7" t="str">
        <f t="shared" si="1"/>
        <v>PROMOSSO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4" t="s">
        <v>11</v>
      </c>
      <c r="B8" s="5">
        <v>29</v>
      </c>
      <c r="C8" s="5">
        <v>12</v>
      </c>
      <c r="D8" s="6">
        <f t="shared" si="0"/>
        <v>20.5</v>
      </c>
      <c r="E8" s="7" t="str">
        <f t="shared" si="1"/>
        <v>PROMOSSO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4" t="s">
        <v>12</v>
      </c>
      <c r="B9" s="5">
        <v>30</v>
      </c>
      <c r="C9" s="5">
        <v>14</v>
      </c>
      <c r="D9" s="6">
        <f t="shared" si="0"/>
        <v>22</v>
      </c>
      <c r="E9" s="7" t="str">
        <f t="shared" si="1"/>
        <v>PROMOSSO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4" t="s">
        <v>13</v>
      </c>
      <c r="B10" s="5">
        <v>18</v>
      </c>
      <c r="C10" s="5">
        <v>15</v>
      </c>
      <c r="D10" s="6">
        <f t="shared" si="0"/>
        <v>16.5</v>
      </c>
      <c r="E10" s="7" t="str">
        <f t="shared" si="1"/>
        <v>BOCCIATO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4" t="s">
        <v>14</v>
      </c>
      <c r="B11" s="5">
        <v>23</v>
      </c>
      <c r="C11" s="5">
        <v>16</v>
      </c>
      <c r="D11" s="6">
        <f t="shared" si="0"/>
        <v>19.5</v>
      </c>
      <c r="E11" s="7" t="str">
        <f t="shared" si="1"/>
        <v>PROMOSSO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4" t="s">
        <v>15</v>
      </c>
      <c r="B12" s="5">
        <v>14</v>
      </c>
      <c r="C12" s="5">
        <v>17</v>
      </c>
      <c r="D12" s="6">
        <f t="shared" si="0"/>
        <v>15.5</v>
      </c>
      <c r="E12" s="7" t="str">
        <f t="shared" si="1"/>
        <v>BOCCIATO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4" t="s">
        <v>16</v>
      </c>
      <c r="B13" s="5">
        <v>16</v>
      </c>
      <c r="C13" s="5">
        <v>20</v>
      </c>
      <c r="D13" s="6">
        <f t="shared" si="0"/>
        <v>18</v>
      </c>
      <c r="E13" s="7" t="str">
        <f t="shared" si="1"/>
        <v>BOCCIATO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4" t="s">
        <v>17</v>
      </c>
      <c r="B14" s="5">
        <v>25</v>
      </c>
      <c r="C14" s="5">
        <v>18</v>
      </c>
      <c r="D14" s="6">
        <f t="shared" si="0"/>
        <v>21.5</v>
      </c>
      <c r="E14" s="7" t="str">
        <f t="shared" si="1"/>
        <v>PROMOSSO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4" t="s">
        <v>18</v>
      </c>
      <c r="B15" s="5">
        <v>14</v>
      </c>
      <c r="C15" s="5">
        <v>18</v>
      </c>
      <c r="D15" s="6">
        <f t="shared" si="0"/>
        <v>16</v>
      </c>
      <c r="E15" s="7" t="str">
        <f t="shared" si="1"/>
        <v>BOCCIATO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">
      <c r="A16" s="8"/>
      <c r="B16" s="3" t="s">
        <v>19</v>
      </c>
      <c r="C16" s="3" t="s">
        <v>20</v>
      </c>
      <c r="D16" s="9" t="s">
        <v>21</v>
      </c>
      <c r="E16" s="7">
        <f>COUNTIF(E3:E15,"PROMOSSO")</f>
        <v>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45">
      <c r="A17" s="10" t="s">
        <v>22</v>
      </c>
      <c r="B17" s="8">
        <f>COUNTIF(B3:B15,"&gt;=18")</f>
        <v>7</v>
      </c>
      <c r="C17" s="8">
        <f>COUNTIF(C3:C15,"&gt;=18")</f>
        <v>6</v>
      </c>
      <c r="D17" s="9" t="s">
        <v>23</v>
      </c>
      <c r="E17" s="7">
        <f>COUNTIF(E3:E15,"BOCCIATO")</f>
        <v>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45">
      <c r="A18" s="10" t="s">
        <v>24</v>
      </c>
      <c r="B18" s="8">
        <f>COUNTIF(B3:B15,"&lt;18")</f>
        <v>6</v>
      </c>
      <c r="C18" s="8">
        <f>COUNTIF(C3:C15,"&lt;18")</f>
        <v>7</v>
      </c>
      <c r="D18" s="11" t="s">
        <v>25</v>
      </c>
      <c r="E18" s="7" t="str">
        <f>IF(E16&gt;E17,"Maggioranza Promossi")</f>
        <v>Maggioranza Promossi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">
      <c r="A19" s="12" t="s">
        <v>29</v>
      </c>
      <c r="B19" s="12"/>
      <c r="C19" s="12"/>
      <c r="D19" s="1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45">
      <c r="A20" s="13" t="s">
        <v>28</v>
      </c>
      <c r="B20" s="13"/>
      <c r="C20" s="13"/>
      <c r="D20" s="13"/>
      <c r="E20" s="1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">
      <c r="A21" s="13" t="s">
        <v>26</v>
      </c>
      <c r="B21" s="13"/>
      <c r="C21" s="13"/>
      <c r="D21" s="1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">
      <c r="A22" s="13" t="s">
        <v>27</v>
      </c>
      <c r="B22" s="13"/>
      <c r="C22" s="13"/>
      <c r="D22" s="1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">
      <c r="A23" s="13" t="s">
        <v>27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E1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5B INF</dc:creator>
  <cp:lastModifiedBy>5B INF</cp:lastModifiedBy>
  <dcterms:modified xsi:type="dcterms:W3CDTF">2026-10-01T09:12:47Z</dcterms:modified>
</cp:coreProperties>
</file>