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5B INF\AppData\Local\SchoolHub\Workspaces\Scuola\Gestione Progetto Org Impresa\"/>
    </mc:Choice>
  </mc:AlternateContent>
  <xr:revisionPtr revIDLastSave="0" documentId="13_ncr:1_{7370E198-DDFF-4950-8F69-6D0AD48090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sercitazion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2" i="1" l="1"/>
  <c r="E41" i="1"/>
  <c r="C71" i="1"/>
  <c r="C69" i="1"/>
  <c r="C67" i="1"/>
  <c r="C68" i="1"/>
  <c r="D63" i="1"/>
  <c r="D61" i="1"/>
  <c r="E57" i="1"/>
  <c r="E50" i="1"/>
  <c r="E51" i="1"/>
  <c r="E52" i="1"/>
  <c r="E53" i="1"/>
  <c r="E54" i="1"/>
  <c r="E55" i="1"/>
  <c r="E56" i="1"/>
  <c r="E49" i="1"/>
  <c r="D50" i="1"/>
  <c r="D51" i="1"/>
  <c r="D52" i="1"/>
  <c r="D53" i="1"/>
  <c r="D54" i="1"/>
  <c r="D57" i="1" s="1"/>
  <c r="C66" i="1" s="1"/>
  <c r="D55" i="1"/>
  <c r="D56" i="1"/>
  <c r="D49" i="1"/>
  <c r="C57" i="1"/>
  <c r="C50" i="1"/>
  <c r="C51" i="1"/>
  <c r="C52" i="1"/>
  <c r="C53" i="1"/>
  <c r="C54" i="1"/>
  <c r="C55" i="1"/>
  <c r="C56" i="1"/>
  <c r="C49" i="1"/>
  <c r="E42" i="1"/>
  <c r="D41" i="1"/>
  <c r="D44" i="1" s="1"/>
  <c r="C41" i="1"/>
  <c r="C44" i="1"/>
  <c r="D42" i="1"/>
  <c r="D43" i="1"/>
  <c r="C42" i="1"/>
  <c r="C43" i="1"/>
  <c r="K37" i="1"/>
  <c r="K14" i="1"/>
  <c r="K36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13" i="1"/>
  <c r="J36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14" i="1"/>
  <c r="E37" i="1"/>
  <c r="C70" i="1" l="1"/>
  <c r="E43" i="1"/>
  <c r="E44" i="1"/>
</calcChain>
</file>

<file path=xl/sharedStrings.xml><?xml version="1.0" encoding="utf-8"?>
<sst xmlns="http://schemas.openxmlformats.org/spreadsheetml/2006/main" count="125" uniqueCount="93">
  <si>
    <t>GPOI – Esercitazione di Excel: scadenzario dei crediti verso clienti</t>
  </si>
  <si>
    <t>Funzioni da usare: SE (anche annidata), CONTA.SE, SOMMA.SE. Riferimenti assoluti e relativi.</t>
  </si>
  <si>
    <t>Traccia. L'impresa commerciale Gusto di Sardegna S.r.l. vende ai propri clienti con pagamento dilazionato. Il registro riporta le fatture emesse tra luglio e settembre 2026 (dati fittizi a scopo didattico; gli importi sono comprensivi di IVA). Per ogni fattura calcola la data di scadenza e, con la funzione SE, stabilisci lo stato alla data di riferimento. Poi analizza i crediti con CONTA.SE e SOMMA.SE e valuta la situazione complessiva.</t>
  </si>
  <si>
    <t>Legenda</t>
  </si>
  <si>
    <t>Dato fornito</t>
  </si>
  <si>
    <t>Da compilare</t>
  </si>
  <si>
    <t>La riga 13 è un esempio già svolto.</t>
  </si>
  <si>
    <t>PARAMETRI</t>
  </si>
  <si>
    <t>Data di riferimento (situazione al)</t>
  </si>
  <si>
    <t>Questi valori sono assunzioni date dal docente. Nelle formule richiamali sempre con un riferimento assoluto (es. $C$6) e non scriverli mai direttamente dentro la formula.</t>
  </si>
  <si>
    <t>Importo di una fattura elevata (€)</t>
  </si>
  <si>
    <t>Giorni di ritardo per il sollecito formale</t>
  </si>
  <si>
    <t>Quota massima accettabile di crediti scaduti (%)</t>
  </si>
  <si>
    <t>REGISTRO DELLE FATTURE EMESSE</t>
  </si>
  <si>
    <t>N.</t>
  </si>
  <si>
    <t>Cliente</t>
  </si>
  <si>
    <t>N. fattura</t>
  </si>
  <si>
    <t>Data fattura</t>
  </si>
  <si>
    <t>Importo (€, IVA inclusa)</t>
  </si>
  <si>
    <t>Termini di pagamento (giorni)</t>
  </si>
  <si>
    <t>Data incasso</t>
  </si>
  <si>
    <t>Data scadenza</t>
  </si>
  <si>
    <t>Stato</t>
  </si>
  <si>
    <t>Giorni di ritardo</t>
  </si>
  <si>
    <t>Credito residuo (€)</t>
  </si>
  <si>
    <t>Ristorante Su Nuraxi</t>
  </si>
  <si>
    <t>2026/101</t>
  </si>
  <si>
    <t>Incassata</t>
  </si>
  <si>
    <t>Hotel Maremonti</t>
  </si>
  <si>
    <t>2026/102</t>
  </si>
  <si>
    <t>Alimentari Pisano</t>
  </si>
  <si>
    <t>2026/103</t>
  </si>
  <si>
    <t>Bar Centrale</t>
  </si>
  <si>
    <t>2026/104</t>
  </si>
  <si>
    <t>Enoteca del Corso</t>
  </si>
  <si>
    <t>2026/105</t>
  </si>
  <si>
    <t>Agriturismo Is Arenas</t>
  </si>
  <si>
    <t>2026/106</t>
  </si>
  <si>
    <t>Minimarket Carta</t>
  </si>
  <si>
    <t>2026/107</t>
  </si>
  <si>
    <t>Pizzeria Il Faro</t>
  </si>
  <si>
    <t>2026/108</t>
  </si>
  <si>
    <t>2026/109</t>
  </si>
  <si>
    <t>2026/110</t>
  </si>
  <si>
    <t>2026/111</t>
  </si>
  <si>
    <t>2026/112</t>
  </si>
  <si>
    <t>2026/113</t>
  </si>
  <si>
    <t>2026/114</t>
  </si>
  <si>
    <t>2026/115</t>
  </si>
  <si>
    <t>2026/116</t>
  </si>
  <si>
    <t>2026/117</t>
  </si>
  <si>
    <t>2026/118</t>
  </si>
  <si>
    <t>2026/119</t>
  </si>
  <si>
    <t>2026/120</t>
  </si>
  <si>
    <t>2026/121</t>
  </si>
  <si>
    <t>2026/122</t>
  </si>
  <si>
    <t>2026/123</t>
  </si>
  <si>
    <t>2026/124</t>
  </si>
  <si>
    <t>TOTALE</t>
  </si>
  <si>
    <t>ANALISI PER STATO (CONTA.SE e SOMMA.SE)</t>
  </si>
  <si>
    <t>N. fatture</t>
  </si>
  <si>
    <t>Importo totale (€)</t>
  </si>
  <si>
    <t>% sul totale fatturato</t>
  </si>
  <si>
    <t>In regola</t>
  </si>
  <si>
    <t>Scaduta</t>
  </si>
  <si>
    <t>Verifica: totale per stato = totale del registro</t>
  </si>
  <si>
    <t>ANALISI PER CLIENTE (CONTA.SE e SOMMA.SE)</t>
  </si>
  <si>
    <t>Fatturato (€)</t>
  </si>
  <si>
    <t>INDICATORI CON SOGLIA (CONTA.SE e SOMMA.SE con operatori)</t>
  </si>
  <si>
    <t>Indicatore</t>
  </si>
  <si>
    <t>Criterio</t>
  </si>
  <si>
    <t>Risultato</t>
  </si>
  <si>
    <t>Fatture scadute da almeno i giorni indicati in C8</t>
  </si>
  <si>
    <t>≥ valore in C8</t>
  </si>
  <si>
    <t>Fatture di importo elevato (numero)</t>
  </si>
  <si>
    <t>≥ valore in C7</t>
  </si>
  <si>
    <t>Fatture di importo elevato (totale €)</t>
  </si>
  <si>
    <t>SITUAZIONE DEI CREDITI ALLA DATA DI RIFERIMENTO</t>
  </si>
  <si>
    <t>Totale fatturato (€)</t>
  </si>
  <si>
    <t>Totale incassato (€)</t>
  </si>
  <si>
    <t>Crediti residui (€)</t>
  </si>
  <si>
    <t>di cui crediti scaduti (€)</t>
  </si>
  <si>
    <t>Crediti scaduti sui crediti residui (%)</t>
  </si>
  <si>
    <t>Giudizio</t>
  </si>
  <si>
    <t>NOTE PER LA COMPILAZIONE (le lettere indicano le colonne)</t>
  </si>
  <si>
    <t>A–G = dati forniti: cliente, numero e data fattura, importo comprensivo di IVA, termini di pagamento in giorni e data di incasso (vuota se la fattura non è ancora stata pagata).</t>
  </si>
  <si>
    <t>H = Data scadenza: data fattura + termini di pagamento (le date in Excel sono numeri, quindi si possono sommare ai giorni).</t>
  </si>
  <si>
    <t>I = Stato: SE annidata. Se la data di incasso è compilata (G&lt;&gt;"") scrivi "Incassata"; altrimenti, se la scadenza è precedente alla data di riferimento (C6, riferimento assoluto), "Scaduta"; in tutti gli altri casi "In regola". Una fattura che scade proprio alla data di riferimento non è scaduta.</t>
  </si>
  <si>
    <t>J = Giorni di ritardo: se lo stato è "Scaduta", data di riferimento meno data scadenza, altrimenti 0.  K = Credito residuo: 0 se la fattura è incassata, altrimenti l'importo della fattura.</t>
  </si>
  <si>
    <t>Riga TOTALE: funzione SOMMA su importo e credito residuo.</t>
  </si>
  <si>
    <t>Analisi per stato e per cliente: CONTA.SE e SOMMA.SE con intervalli bloccati (es. $I$13:$I$36) e criterio relativo (la cella della colonna B), così la formula si copia verso il basso. La percentuale sul totale divide per $D$44, che richiede un riferimento assoluto. La verifica usa SE.</t>
  </si>
  <si>
    <t>Indicatori con soglia: unisci l'operatore al parametro, per esempio "&gt;="&amp;$C$8.</t>
  </si>
  <si>
    <t>Situazione dei crediti: i valori si prendono dalle tabelle già compilate; il giudizio usa SE e confronta la percentuale di crediti scaduti con il limite in C9.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</si>
</sst>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€ &quot;#,##0.00"/>
    <numFmt numFmtId="165" formatCode="0.0%"/>
  </numFmts>
  <fonts count="11" x14ac:knownFonts="1">
    <font>
      <sz val="11"/>
      <color theme="1"/>
      <name val="Calibri"/>
      <scheme val="minor"/>
    </font>
    <font>
      <b/>
      <sz val="14"/>
      <color rgb="FF1F3864"/>
      <name val="Titillium Web"/>
    </font>
    <font>
      <sz val="11"/>
      <color theme="1"/>
      <name val="Titillium Web"/>
    </font>
    <font>
      <i/>
      <sz val="10"/>
      <color rgb="FF595959"/>
      <name val="Titillium Web"/>
    </font>
    <font>
      <sz val="10"/>
      <color rgb="FF000000"/>
      <name val="Titillium Web"/>
    </font>
    <font>
      <b/>
      <sz val="10"/>
      <color rgb="FF000000"/>
      <name val="Titillium Web"/>
    </font>
    <font>
      <sz val="10"/>
      <color rgb="FF0000FF"/>
      <name val="Titillium Web"/>
    </font>
    <font>
      <i/>
      <sz val="10"/>
      <color rgb="FF000000"/>
      <name val="Titillium Web"/>
    </font>
    <font>
      <b/>
      <sz val="11"/>
      <color rgb="FFFFFFFF"/>
      <name val="Titillium Web"/>
    </font>
    <font>
      <sz val="11"/>
      <name val="Calibri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1F3864"/>
        <bgColor rgb="FF1F3864"/>
      </patternFill>
    </fill>
    <fill>
      <patternFill patternType="solid">
        <fgColor rgb="FFDDEBF7"/>
        <bgColor rgb="FFDDEBF7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0" applyFont="1"/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 wrapText="1"/>
    </xf>
    <xf numFmtId="14" fontId="6" fillId="0" borderId="1" xfId="0" applyNumberFormat="1" applyFont="1" applyBorder="1" applyAlignment="1">
      <alignment horizontal="right" vertical="center"/>
    </xf>
    <xf numFmtId="164" fontId="6" fillId="0" borderId="1" xfId="0" applyNumberFormat="1" applyFont="1" applyBorder="1" applyAlignment="1">
      <alignment horizontal="right" vertical="center"/>
    </xf>
    <xf numFmtId="1" fontId="6" fillId="0" borderId="1" xfId="0" applyNumberFormat="1" applyFont="1" applyBorder="1" applyAlignment="1">
      <alignment horizontal="right" vertical="center"/>
    </xf>
    <xf numFmtId="9" fontId="6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4" fontId="6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right" vertical="center"/>
    </xf>
    <xf numFmtId="14" fontId="4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righ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4" fillId="2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vertical="center"/>
    </xf>
    <xf numFmtId="1" fontId="5" fillId="2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right" vertical="center"/>
    </xf>
    <xf numFmtId="9" fontId="5" fillId="2" borderId="1" xfId="1" applyFont="1" applyFill="1" applyBorder="1" applyAlignment="1">
      <alignment horizontal="right" vertical="center"/>
    </xf>
    <xf numFmtId="0" fontId="4" fillId="0" borderId="0" xfId="0" applyFont="1" applyAlignment="1">
      <alignment horizontal="left" vertical="top" wrapText="1"/>
    </xf>
    <xf numFmtId="0" fontId="0" fillId="0" borderId="0" xfId="0"/>
    <xf numFmtId="0" fontId="5" fillId="4" borderId="5" xfId="0" applyFont="1" applyFill="1" applyBorder="1" applyAlignment="1">
      <alignment horizontal="right" vertical="center"/>
    </xf>
    <xf numFmtId="0" fontId="9" fillId="0" borderId="6" xfId="0" applyFont="1" applyBorder="1"/>
    <xf numFmtId="0" fontId="9" fillId="0" borderId="7" xfId="0" applyFont="1" applyBorder="1"/>
    <xf numFmtId="0" fontId="8" fillId="3" borderId="2" xfId="0" applyFont="1" applyFill="1" applyBorder="1" applyAlignment="1">
      <alignment horizontal="left" vertical="center"/>
    </xf>
    <xf numFmtId="0" fontId="9" fillId="0" borderId="3" xfId="0" applyFont="1" applyBorder="1"/>
    <xf numFmtId="0" fontId="9" fillId="0" borderId="4" xfId="0" applyFont="1" applyBorder="1"/>
    <xf numFmtId="0" fontId="7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showGridLines="0" tabSelected="1" topLeftCell="A58" workbookViewId="0">
      <selection activeCell="C71" sqref="C71"/>
    </sheetView>
  </sheetViews>
  <sheetFormatPr defaultColWidth="14.42578125" defaultRowHeight="15" customHeight="1" x14ac:dyDescent="0.25"/>
  <cols>
    <col min="1" max="1" width="6" customWidth="1"/>
    <col min="2" max="2" width="30" customWidth="1"/>
    <col min="3" max="4" width="13" customWidth="1"/>
    <col min="5" max="5" width="15" customWidth="1"/>
    <col min="6" max="6" width="14" customWidth="1"/>
    <col min="7" max="10" width="13" customWidth="1"/>
    <col min="11" max="11" width="15" customWidth="1"/>
    <col min="12" max="26" width="8.7109375" customWidth="1"/>
  </cols>
  <sheetData>
    <row r="1" spans="1:26" ht="25.5" customHeight="1" x14ac:dyDescent="0.45">
      <c r="A1" s="39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5" x14ac:dyDescent="0.45">
      <c r="A2" s="40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54" customHeight="1" x14ac:dyDescent="0.45">
      <c r="A3" s="30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.5" x14ac:dyDescent="0.45">
      <c r="A4" s="1"/>
      <c r="B4" s="2" t="s">
        <v>3</v>
      </c>
      <c r="C4" s="3" t="s">
        <v>4</v>
      </c>
      <c r="D4" s="4" t="s">
        <v>5</v>
      </c>
      <c r="E4" s="41" t="s">
        <v>6</v>
      </c>
      <c r="F4" s="31"/>
      <c r="G4" s="31"/>
      <c r="H4" s="31"/>
      <c r="I4" s="31"/>
      <c r="J4" s="31"/>
      <c r="K4" s="3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1.75" customHeight="1" x14ac:dyDescent="0.45">
      <c r="A5" s="35" t="s">
        <v>7</v>
      </c>
      <c r="B5" s="36"/>
      <c r="C5" s="36"/>
      <c r="D5" s="36"/>
      <c r="E5" s="36"/>
      <c r="F5" s="36"/>
      <c r="G5" s="36"/>
      <c r="H5" s="36"/>
      <c r="I5" s="36"/>
      <c r="J5" s="36"/>
      <c r="K5" s="37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.75" customHeight="1" x14ac:dyDescent="0.45">
      <c r="A6" s="1"/>
      <c r="B6" s="5" t="s">
        <v>8</v>
      </c>
      <c r="C6" s="6">
        <v>46295</v>
      </c>
      <c r="D6" s="1"/>
      <c r="E6" s="38" t="s">
        <v>9</v>
      </c>
      <c r="F6" s="31"/>
      <c r="G6" s="31"/>
      <c r="H6" s="31"/>
      <c r="I6" s="31"/>
      <c r="J6" s="31"/>
      <c r="K6" s="3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7.75" customHeight="1" x14ac:dyDescent="0.45">
      <c r="A7" s="1"/>
      <c r="B7" s="5" t="s">
        <v>10</v>
      </c>
      <c r="C7" s="7">
        <v>3000</v>
      </c>
      <c r="D7" s="1"/>
      <c r="E7" s="31"/>
      <c r="F7" s="31"/>
      <c r="G7" s="31"/>
      <c r="H7" s="31"/>
      <c r="I7" s="31"/>
      <c r="J7" s="31"/>
      <c r="K7" s="3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7.75" customHeight="1" x14ac:dyDescent="0.45">
      <c r="A8" s="1"/>
      <c r="B8" s="5" t="s">
        <v>11</v>
      </c>
      <c r="C8" s="8">
        <v>30</v>
      </c>
      <c r="D8" s="1"/>
      <c r="E8" s="31"/>
      <c r="F8" s="31"/>
      <c r="G8" s="31"/>
      <c r="H8" s="31"/>
      <c r="I8" s="31"/>
      <c r="J8" s="31"/>
      <c r="K8" s="3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7.75" customHeight="1" x14ac:dyDescent="0.45">
      <c r="A9" s="1"/>
      <c r="B9" s="5" t="s">
        <v>12</v>
      </c>
      <c r="C9" s="9">
        <v>0.2</v>
      </c>
      <c r="D9" s="1"/>
      <c r="E9" s="31"/>
      <c r="F9" s="31"/>
      <c r="G9" s="31"/>
      <c r="H9" s="31"/>
      <c r="I9" s="31"/>
      <c r="J9" s="31"/>
      <c r="K9" s="3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x14ac:dyDescent="0.4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.75" customHeight="1" x14ac:dyDescent="0.45">
      <c r="A11" s="35" t="s">
        <v>13</v>
      </c>
      <c r="B11" s="36"/>
      <c r="C11" s="36"/>
      <c r="D11" s="36"/>
      <c r="E11" s="36"/>
      <c r="F11" s="36"/>
      <c r="G11" s="36"/>
      <c r="H11" s="36"/>
      <c r="I11" s="36"/>
      <c r="J11" s="36"/>
      <c r="K11" s="37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45" customHeight="1" x14ac:dyDescent="0.45">
      <c r="A12" s="10" t="s">
        <v>14</v>
      </c>
      <c r="B12" s="11" t="s">
        <v>15</v>
      </c>
      <c r="C12" s="11" t="s">
        <v>16</v>
      </c>
      <c r="D12" s="11" t="s">
        <v>17</v>
      </c>
      <c r="E12" s="11" t="s">
        <v>18</v>
      </c>
      <c r="F12" s="11" t="s">
        <v>19</v>
      </c>
      <c r="G12" s="11" t="s">
        <v>20</v>
      </c>
      <c r="H12" s="11" t="s">
        <v>21</v>
      </c>
      <c r="I12" s="11" t="s">
        <v>22</v>
      </c>
      <c r="J12" s="11" t="s">
        <v>23</v>
      </c>
      <c r="K12" s="11" t="s">
        <v>24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.5" x14ac:dyDescent="0.45">
      <c r="A13" s="12">
        <v>1</v>
      </c>
      <c r="B13" s="13" t="s">
        <v>25</v>
      </c>
      <c r="C13" s="3" t="s">
        <v>26</v>
      </c>
      <c r="D13" s="14">
        <v>46205</v>
      </c>
      <c r="E13" s="7">
        <v>2035</v>
      </c>
      <c r="F13" s="8">
        <v>30</v>
      </c>
      <c r="G13" s="14">
        <v>46232</v>
      </c>
      <c r="H13" s="15">
        <v>46235</v>
      </c>
      <c r="I13" s="12" t="s">
        <v>27</v>
      </c>
      <c r="J13" s="16">
        <v>0</v>
      </c>
      <c r="K13" s="19">
        <f>IF(I13= "Incassata", 0, E13)</f>
        <v>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x14ac:dyDescent="0.45">
      <c r="A14" s="12">
        <v>2</v>
      </c>
      <c r="B14" s="13" t="s">
        <v>28</v>
      </c>
      <c r="C14" s="3" t="s">
        <v>29</v>
      </c>
      <c r="D14" s="14">
        <v>46206</v>
      </c>
      <c r="E14" s="7">
        <v>3520</v>
      </c>
      <c r="F14" s="8">
        <v>60</v>
      </c>
      <c r="G14" s="14">
        <v>46262</v>
      </c>
      <c r="H14" s="17">
        <f>D14+F14</f>
        <v>46266</v>
      </c>
      <c r="I14" s="4" t="str">
        <f>IF(G13&lt;&gt;"", "Incassata", IF(H13&gt;$C$6, "Scaduta", "In regola"))</f>
        <v>Incassata</v>
      </c>
      <c r="J14" s="18">
        <f>IF(I13 = "Scaduta", $C$6-H13,0)</f>
        <v>0</v>
      </c>
      <c r="K14" s="19">
        <f>IF(I14= "Incassata", 0, E14)</f>
        <v>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x14ac:dyDescent="0.45">
      <c r="A15" s="12">
        <v>3</v>
      </c>
      <c r="B15" s="13" t="s">
        <v>30</v>
      </c>
      <c r="C15" s="3" t="s">
        <v>31</v>
      </c>
      <c r="D15" s="14">
        <v>46210</v>
      </c>
      <c r="E15" s="7">
        <v>978.12</v>
      </c>
      <c r="F15" s="8">
        <v>30</v>
      </c>
      <c r="G15" s="14">
        <v>46244</v>
      </c>
      <c r="H15" s="17">
        <f t="shared" ref="H15:H36" si="0">D15+F15</f>
        <v>46240</v>
      </c>
      <c r="I15" s="4" t="str">
        <f t="shared" ref="I15:I36" si="1">IF(G14&lt;&gt;"", "Incassata", IF(H14&gt;$C$6, "Scaduta", "In regola"))</f>
        <v>Incassata</v>
      </c>
      <c r="J15" s="18">
        <f t="shared" ref="J15:J35" si="2">IF(I14 = "Scaduta", $C$6-H14,0)</f>
        <v>0</v>
      </c>
      <c r="K15" s="19">
        <f t="shared" ref="K15:K36" si="3">IF(I15= "Incassata", 0, E15)</f>
        <v>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x14ac:dyDescent="0.45">
      <c r="A16" s="12">
        <v>4</v>
      </c>
      <c r="B16" s="13" t="s">
        <v>32</v>
      </c>
      <c r="C16" s="3" t="s">
        <v>33</v>
      </c>
      <c r="D16" s="14">
        <v>46212</v>
      </c>
      <c r="E16" s="7">
        <v>746.64</v>
      </c>
      <c r="F16" s="8">
        <v>30</v>
      </c>
      <c r="G16" s="14"/>
      <c r="H16" s="17">
        <f t="shared" si="0"/>
        <v>46242</v>
      </c>
      <c r="I16" s="4" t="str">
        <f t="shared" si="1"/>
        <v>Incassata</v>
      </c>
      <c r="J16" s="18">
        <f t="shared" si="2"/>
        <v>0</v>
      </c>
      <c r="K16" s="19">
        <f t="shared" si="3"/>
        <v>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x14ac:dyDescent="0.45">
      <c r="A17" s="12">
        <v>5</v>
      </c>
      <c r="B17" s="13" t="s">
        <v>34</v>
      </c>
      <c r="C17" s="3" t="s">
        <v>35</v>
      </c>
      <c r="D17" s="14">
        <v>46217</v>
      </c>
      <c r="E17" s="7">
        <v>3019.5</v>
      </c>
      <c r="F17" s="8">
        <v>60</v>
      </c>
      <c r="G17" s="14">
        <v>46275</v>
      </c>
      <c r="H17" s="17">
        <f t="shared" si="0"/>
        <v>46277</v>
      </c>
      <c r="I17" s="4" t="str">
        <f t="shared" si="1"/>
        <v>In regola</v>
      </c>
      <c r="J17" s="18">
        <f t="shared" si="2"/>
        <v>0</v>
      </c>
      <c r="K17" s="19">
        <f t="shared" si="3"/>
        <v>3019.5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x14ac:dyDescent="0.45">
      <c r="A18" s="12">
        <v>6</v>
      </c>
      <c r="B18" s="13" t="s">
        <v>36</v>
      </c>
      <c r="C18" s="3" t="s">
        <v>37</v>
      </c>
      <c r="D18" s="14">
        <v>46219</v>
      </c>
      <c r="E18" s="7">
        <v>1452</v>
      </c>
      <c r="F18" s="8">
        <v>30</v>
      </c>
      <c r="G18" s="14">
        <v>46254</v>
      </c>
      <c r="H18" s="17">
        <f t="shared" si="0"/>
        <v>46249</v>
      </c>
      <c r="I18" s="4" t="str">
        <f t="shared" si="1"/>
        <v>Incassata</v>
      </c>
      <c r="J18" s="18">
        <f t="shared" si="2"/>
        <v>0</v>
      </c>
      <c r="K18" s="19">
        <f t="shared" si="3"/>
        <v>0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x14ac:dyDescent="0.45">
      <c r="A19" s="12">
        <v>7</v>
      </c>
      <c r="B19" s="13" t="s">
        <v>38</v>
      </c>
      <c r="C19" s="3" t="s">
        <v>39</v>
      </c>
      <c r="D19" s="14">
        <v>46224</v>
      </c>
      <c r="E19" s="7">
        <v>811.2</v>
      </c>
      <c r="F19" s="8">
        <v>30</v>
      </c>
      <c r="G19" s="14"/>
      <c r="H19" s="17">
        <f t="shared" si="0"/>
        <v>46254</v>
      </c>
      <c r="I19" s="4" t="str">
        <f t="shared" si="1"/>
        <v>Incassata</v>
      </c>
      <c r="J19" s="18">
        <f t="shared" si="2"/>
        <v>0</v>
      </c>
      <c r="K19" s="19">
        <f t="shared" si="3"/>
        <v>0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x14ac:dyDescent="0.45">
      <c r="A20" s="12">
        <v>8</v>
      </c>
      <c r="B20" s="13" t="s">
        <v>40</v>
      </c>
      <c r="C20" s="3" t="s">
        <v>41</v>
      </c>
      <c r="D20" s="14">
        <v>46226</v>
      </c>
      <c r="E20" s="7">
        <v>1215.5</v>
      </c>
      <c r="F20" s="8">
        <v>30</v>
      </c>
      <c r="G20" s="14">
        <v>46253</v>
      </c>
      <c r="H20" s="17">
        <f t="shared" si="0"/>
        <v>46256</v>
      </c>
      <c r="I20" s="4" t="str">
        <f t="shared" si="1"/>
        <v>In regola</v>
      </c>
      <c r="J20" s="18">
        <f t="shared" si="2"/>
        <v>0</v>
      </c>
      <c r="K20" s="19">
        <f t="shared" si="3"/>
        <v>1215.5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45">
      <c r="A21" s="12">
        <v>9</v>
      </c>
      <c r="B21" s="13" t="s">
        <v>25</v>
      </c>
      <c r="C21" s="3" t="s">
        <v>42</v>
      </c>
      <c r="D21" s="14">
        <v>46231</v>
      </c>
      <c r="E21" s="7">
        <v>2696.2</v>
      </c>
      <c r="F21" s="8">
        <v>60</v>
      </c>
      <c r="G21" s="14"/>
      <c r="H21" s="17">
        <f t="shared" si="0"/>
        <v>46291</v>
      </c>
      <c r="I21" s="4" t="str">
        <f t="shared" si="1"/>
        <v>Incassata</v>
      </c>
      <c r="J21" s="18">
        <f t="shared" si="2"/>
        <v>0</v>
      </c>
      <c r="K21" s="19">
        <f t="shared" si="3"/>
        <v>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45">
      <c r="A22" s="12">
        <v>10</v>
      </c>
      <c r="B22" s="13" t="s">
        <v>28</v>
      </c>
      <c r="C22" s="3" t="s">
        <v>43</v>
      </c>
      <c r="D22" s="14">
        <v>46233</v>
      </c>
      <c r="E22" s="7">
        <v>4565</v>
      </c>
      <c r="F22" s="8">
        <v>90</v>
      </c>
      <c r="G22" s="14"/>
      <c r="H22" s="17">
        <f t="shared" si="0"/>
        <v>46323</v>
      </c>
      <c r="I22" s="4" t="str">
        <f t="shared" si="1"/>
        <v>In regola</v>
      </c>
      <c r="J22" s="18">
        <f t="shared" si="2"/>
        <v>0</v>
      </c>
      <c r="K22" s="19">
        <f t="shared" si="3"/>
        <v>4565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45">
      <c r="A23" s="12">
        <v>11</v>
      </c>
      <c r="B23" s="13" t="s">
        <v>30</v>
      </c>
      <c r="C23" s="3" t="s">
        <v>44</v>
      </c>
      <c r="D23" s="14">
        <v>46238</v>
      </c>
      <c r="E23" s="7">
        <v>1326</v>
      </c>
      <c r="F23" s="8">
        <v>30</v>
      </c>
      <c r="G23" s="14">
        <v>46267</v>
      </c>
      <c r="H23" s="17">
        <f t="shared" si="0"/>
        <v>46268</v>
      </c>
      <c r="I23" s="4" t="str">
        <f t="shared" si="1"/>
        <v>Scaduta</v>
      </c>
      <c r="J23" s="18">
        <f t="shared" si="2"/>
        <v>0</v>
      </c>
      <c r="K23" s="19">
        <f t="shared" si="3"/>
        <v>1326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45">
      <c r="A24" s="12">
        <v>12</v>
      </c>
      <c r="B24" s="13" t="s">
        <v>32</v>
      </c>
      <c r="C24" s="3" t="s">
        <v>45</v>
      </c>
      <c r="D24" s="14">
        <v>46240</v>
      </c>
      <c r="E24" s="7">
        <v>646.6</v>
      </c>
      <c r="F24" s="8">
        <v>30</v>
      </c>
      <c r="G24" s="14"/>
      <c r="H24" s="17">
        <f t="shared" si="0"/>
        <v>46270</v>
      </c>
      <c r="I24" s="4" t="str">
        <f t="shared" si="1"/>
        <v>Incassata</v>
      </c>
      <c r="J24" s="18">
        <f t="shared" si="2"/>
        <v>27</v>
      </c>
      <c r="K24" s="19">
        <f t="shared" si="3"/>
        <v>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45">
      <c r="A25" s="12">
        <v>13</v>
      </c>
      <c r="B25" s="13" t="s">
        <v>34</v>
      </c>
      <c r="C25" s="3" t="s">
        <v>46</v>
      </c>
      <c r="D25" s="14">
        <v>46245</v>
      </c>
      <c r="E25" s="7">
        <v>2391.1999999999998</v>
      </c>
      <c r="F25" s="8">
        <v>60</v>
      </c>
      <c r="G25" s="14"/>
      <c r="H25" s="17">
        <f t="shared" si="0"/>
        <v>46305</v>
      </c>
      <c r="I25" s="4" t="str">
        <f t="shared" si="1"/>
        <v>In regola</v>
      </c>
      <c r="J25" s="18">
        <f t="shared" si="2"/>
        <v>0</v>
      </c>
      <c r="K25" s="19">
        <f t="shared" si="3"/>
        <v>2391.1999999999998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45">
      <c r="A26" s="12">
        <v>14</v>
      </c>
      <c r="B26" s="13" t="s">
        <v>36</v>
      </c>
      <c r="C26" s="3" t="s">
        <v>47</v>
      </c>
      <c r="D26" s="14">
        <v>46247</v>
      </c>
      <c r="E26" s="7">
        <v>995.5</v>
      </c>
      <c r="F26" s="8">
        <v>30</v>
      </c>
      <c r="G26" s="14">
        <v>46280</v>
      </c>
      <c r="H26" s="17">
        <f t="shared" si="0"/>
        <v>46277</v>
      </c>
      <c r="I26" s="4" t="str">
        <f t="shared" si="1"/>
        <v>Scaduta</v>
      </c>
      <c r="J26" s="18">
        <f t="shared" si="2"/>
        <v>0</v>
      </c>
      <c r="K26" s="19">
        <f t="shared" si="3"/>
        <v>995.5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45">
      <c r="A27" s="12">
        <v>15</v>
      </c>
      <c r="B27" s="13" t="s">
        <v>38</v>
      </c>
      <c r="C27" s="3" t="s">
        <v>48</v>
      </c>
      <c r="D27" s="14">
        <v>46252</v>
      </c>
      <c r="E27" s="7">
        <v>1487.98</v>
      </c>
      <c r="F27" s="8">
        <v>60</v>
      </c>
      <c r="G27" s="14"/>
      <c r="H27" s="17">
        <f t="shared" si="0"/>
        <v>46312</v>
      </c>
      <c r="I27" s="4" t="str">
        <f t="shared" si="1"/>
        <v>Incassata</v>
      </c>
      <c r="J27" s="18">
        <f t="shared" si="2"/>
        <v>18</v>
      </c>
      <c r="K27" s="19">
        <f t="shared" si="3"/>
        <v>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45">
      <c r="A28" s="12">
        <v>16</v>
      </c>
      <c r="B28" s="13" t="s">
        <v>40</v>
      </c>
      <c r="C28" s="3" t="s">
        <v>49</v>
      </c>
      <c r="D28" s="14">
        <v>46254</v>
      </c>
      <c r="E28" s="7">
        <v>1837</v>
      </c>
      <c r="F28" s="8">
        <v>30</v>
      </c>
      <c r="G28" s="14"/>
      <c r="H28" s="17">
        <f t="shared" si="0"/>
        <v>46284</v>
      </c>
      <c r="I28" s="4" t="str">
        <f t="shared" si="1"/>
        <v>Scaduta</v>
      </c>
      <c r="J28" s="18">
        <f t="shared" si="2"/>
        <v>0</v>
      </c>
      <c r="K28" s="19">
        <f t="shared" si="3"/>
        <v>1837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45">
      <c r="A29" s="12">
        <v>17</v>
      </c>
      <c r="B29" s="13" t="s">
        <v>25</v>
      </c>
      <c r="C29" s="3" t="s">
        <v>50</v>
      </c>
      <c r="D29" s="14">
        <v>46259</v>
      </c>
      <c r="E29" s="7">
        <v>3179</v>
      </c>
      <c r="F29" s="8">
        <v>60</v>
      </c>
      <c r="G29" s="14"/>
      <c r="H29" s="17">
        <f t="shared" si="0"/>
        <v>46319</v>
      </c>
      <c r="I29" s="4" t="str">
        <f t="shared" si="1"/>
        <v>In regola</v>
      </c>
      <c r="J29" s="18">
        <f t="shared" si="2"/>
        <v>11</v>
      </c>
      <c r="K29" s="19">
        <f t="shared" si="3"/>
        <v>3179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45">
      <c r="A30" s="12">
        <v>18</v>
      </c>
      <c r="B30" s="13" t="s">
        <v>28</v>
      </c>
      <c r="C30" s="3" t="s">
        <v>51</v>
      </c>
      <c r="D30" s="14">
        <v>46261</v>
      </c>
      <c r="E30" s="7">
        <v>2879.2</v>
      </c>
      <c r="F30" s="8">
        <v>60</v>
      </c>
      <c r="G30" s="14"/>
      <c r="H30" s="17">
        <f t="shared" si="0"/>
        <v>46321</v>
      </c>
      <c r="I30" s="4" t="str">
        <f t="shared" si="1"/>
        <v>Scaduta</v>
      </c>
      <c r="J30" s="18">
        <f t="shared" si="2"/>
        <v>0</v>
      </c>
      <c r="K30" s="19">
        <f t="shared" si="3"/>
        <v>2879.2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45">
      <c r="A31" s="12">
        <v>19</v>
      </c>
      <c r="B31" s="13" t="s">
        <v>32</v>
      </c>
      <c r="C31" s="3" t="s">
        <v>52</v>
      </c>
      <c r="D31" s="14">
        <v>46265</v>
      </c>
      <c r="E31" s="7">
        <v>908.9</v>
      </c>
      <c r="F31" s="8">
        <v>30</v>
      </c>
      <c r="G31" s="14"/>
      <c r="H31" s="17">
        <f t="shared" si="0"/>
        <v>46295</v>
      </c>
      <c r="I31" s="4" t="str">
        <f t="shared" si="1"/>
        <v>Scaduta</v>
      </c>
      <c r="J31" s="18">
        <f t="shared" si="2"/>
        <v>-26</v>
      </c>
      <c r="K31" s="19">
        <f t="shared" si="3"/>
        <v>908.9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45">
      <c r="A32" s="12">
        <v>20</v>
      </c>
      <c r="B32" s="13" t="s">
        <v>30</v>
      </c>
      <c r="C32" s="3" t="s">
        <v>53</v>
      </c>
      <c r="D32" s="14">
        <v>46266</v>
      </c>
      <c r="E32" s="7">
        <v>1128.4000000000001</v>
      </c>
      <c r="F32" s="8">
        <v>30</v>
      </c>
      <c r="G32" s="14"/>
      <c r="H32" s="17">
        <f t="shared" si="0"/>
        <v>46296</v>
      </c>
      <c r="I32" s="4" t="str">
        <f t="shared" si="1"/>
        <v>In regola</v>
      </c>
      <c r="J32" s="18">
        <f t="shared" si="2"/>
        <v>0</v>
      </c>
      <c r="K32" s="19">
        <f t="shared" si="3"/>
        <v>1128.4000000000001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45">
      <c r="A33" s="12">
        <v>21</v>
      </c>
      <c r="B33" s="13" t="s">
        <v>34</v>
      </c>
      <c r="C33" s="3" t="s">
        <v>54</v>
      </c>
      <c r="D33" s="14">
        <v>46273</v>
      </c>
      <c r="E33" s="7">
        <v>3782</v>
      </c>
      <c r="F33" s="8">
        <v>90</v>
      </c>
      <c r="G33" s="14"/>
      <c r="H33" s="17">
        <f t="shared" si="0"/>
        <v>46363</v>
      </c>
      <c r="I33" s="4" t="str">
        <f t="shared" si="1"/>
        <v>Scaduta</v>
      </c>
      <c r="J33" s="18">
        <f t="shared" si="2"/>
        <v>0</v>
      </c>
      <c r="K33" s="19">
        <f t="shared" si="3"/>
        <v>3782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45">
      <c r="A34" s="12">
        <v>22</v>
      </c>
      <c r="B34" s="13" t="s">
        <v>36</v>
      </c>
      <c r="C34" s="3" t="s">
        <v>55</v>
      </c>
      <c r="D34" s="14">
        <v>46275</v>
      </c>
      <c r="E34" s="7">
        <v>1694</v>
      </c>
      <c r="F34" s="8">
        <v>30</v>
      </c>
      <c r="G34" s="14"/>
      <c r="H34" s="17">
        <f t="shared" si="0"/>
        <v>46305</v>
      </c>
      <c r="I34" s="4" t="str">
        <f t="shared" si="1"/>
        <v>Scaduta</v>
      </c>
      <c r="J34" s="18">
        <f t="shared" si="2"/>
        <v>-68</v>
      </c>
      <c r="K34" s="19">
        <f t="shared" si="3"/>
        <v>1694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45">
      <c r="A35" s="12">
        <v>23</v>
      </c>
      <c r="B35" s="13" t="s">
        <v>38</v>
      </c>
      <c r="C35" s="3" t="s">
        <v>56</v>
      </c>
      <c r="D35" s="14">
        <v>46280</v>
      </c>
      <c r="E35" s="7">
        <v>717.6</v>
      </c>
      <c r="F35" s="8">
        <v>30</v>
      </c>
      <c r="G35" s="14"/>
      <c r="H35" s="17">
        <f t="shared" si="0"/>
        <v>46310</v>
      </c>
      <c r="I35" s="4" t="str">
        <f t="shared" si="1"/>
        <v>Scaduta</v>
      </c>
      <c r="J35" s="18">
        <f t="shared" si="2"/>
        <v>-10</v>
      </c>
      <c r="K35" s="19">
        <f t="shared" si="3"/>
        <v>717.6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45">
      <c r="A36" s="12">
        <v>24</v>
      </c>
      <c r="B36" s="13" t="s">
        <v>40</v>
      </c>
      <c r="C36" s="3" t="s">
        <v>57</v>
      </c>
      <c r="D36" s="14">
        <v>46287</v>
      </c>
      <c r="E36" s="7">
        <v>2178</v>
      </c>
      <c r="F36" s="8">
        <v>60</v>
      </c>
      <c r="G36" s="14"/>
      <c r="H36" s="17">
        <f t="shared" si="0"/>
        <v>46347</v>
      </c>
      <c r="I36" s="4" t="str">
        <f t="shared" si="1"/>
        <v>Scaduta</v>
      </c>
      <c r="J36" s="18">
        <f>IF(I35 = "Scaduta", $C$6-H35,0)</f>
        <v>-15</v>
      </c>
      <c r="K36" s="19">
        <f t="shared" si="3"/>
        <v>2178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45">
      <c r="A37" s="20"/>
      <c r="B37" s="32" t="s">
        <v>58</v>
      </c>
      <c r="C37" s="33"/>
      <c r="D37" s="34"/>
      <c r="E37" s="21">
        <f>SUM(E13:E36)</f>
        <v>46190.54</v>
      </c>
      <c r="F37" s="20"/>
      <c r="G37" s="20"/>
      <c r="H37" s="20"/>
      <c r="I37" s="20"/>
      <c r="J37" s="20"/>
      <c r="K37" s="21">
        <f>SUM(K13:K36)</f>
        <v>31816.800000000003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4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.75" customHeight="1" x14ac:dyDescent="0.45">
      <c r="A39" s="35" t="s">
        <v>59</v>
      </c>
      <c r="B39" s="36"/>
      <c r="C39" s="36"/>
      <c r="D39" s="36"/>
      <c r="E39" s="36"/>
      <c r="F39" s="36"/>
      <c r="G39" s="36"/>
      <c r="H39" s="36"/>
      <c r="I39" s="36"/>
      <c r="J39" s="36"/>
      <c r="K39" s="37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31.5" customHeight="1" x14ac:dyDescent="0.45">
      <c r="A40" s="1"/>
      <c r="B40" s="11" t="s">
        <v>22</v>
      </c>
      <c r="C40" s="11" t="s">
        <v>60</v>
      </c>
      <c r="D40" s="11" t="s">
        <v>61</v>
      </c>
      <c r="E40" s="11" t="s">
        <v>62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45">
      <c r="A41" s="1"/>
      <c r="B41" s="3" t="s">
        <v>27</v>
      </c>
      <c r="C41" s="18">
        <f>COUNTIF($I$13:$I$36,B41)</f>
        <v>9</v>
      </c>
      <c r="D41" s="19">
        <f>SUMIF(I$13:I$36,B41,E$13:E$36)</f>
        <v>14373.74</v>
      </c>
      <c r="E41" s="28">
        <f>D41/$D$44</f>
        <v>0.31118363197312693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45">
      <c r="A42" s="1"/>
      <c r="B42" s="3" t="s">
        <v>63</v>
      </c>
      <c r="C42" s="18">
        <f>COUNTIF($I$13:$I$36,B42)</f>
        <v>6</v>
      </c>
      <c r="D42" s="19">
        <f t="shared" ref="D42:D43" si="4">SUMIF(I$13:I$36,B42,E$13:E$36)</f>
        <v>15498.6</v>
      </c>
      <c r="E42" s="28">
        <f t="shared" ref="E41:E43" si="5">D42/D$44</f>
        <v>0.33553623750664097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45">
      <c r="A43" s="1"/>
      <c r="B43" s="3" t="s">
        <v>64</v>
      </c>
      <c r="C43" s="18">
        <f>COUNTIF($I$13:$I$36,B43)</f>
        <v>9</v>
      </c>
      <c r="D43" s="19">
        <f t="shared" si="4"/>
        <v>16318.199999999999</v>
      </c>
      <c r="E43" s="28">
        <f t="shared" si="5"/>
        <v>0.35328013052023205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45">
      <c r="A44" s="1"/>
      <c r="B44" s="23" t="s">
        <v>58</v>
      </c>
      <c r="C44" s="24">
        <f>SUM(C41:C43)</f>
        <v>24</v>
      </c>
      <c r="D44" s="21">
        <f>SUM(D41:D43)</f>
        <v>46190.54</v>
      </c>
      <c r="E44" s="29">
        <f>SUM(E41:E43)</f>
        <v>1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7.75" customHeight="1" x14ac:dyDescent="0.45">
      <c r="A45" s="1"/>
      <c r="B45" s="25" t="s">
        <v>65</v>
      </c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4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.75" customHeight="1" x14ac:dyDescent="0.45">
      <c r="A47" s="35" t="s">
        <v>66</v>
      </c>
      <c r="B47" s="36"/>
      <c r="C47" s="36"/>
      <c r="D47" s="36"/>
      <c r="E47" s="36"/>
      <c r="F47" s="36"/>
      <c r="G47" s="36"/>
      <c r="H47" s="36"/>
      <c r="I47" s="36"/>
      <c r="J47" s="36"/>
      <c r="K47" s="37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31.5" customHeight="1" x14ac:dyDescent="0.45">
      <c r="A48" s="1"/>
      <c r="B48" s="11" t="s">
        <v>15</v>
      </c>
      <c r="C48" s="11" t="s">
        <v>60</v>
      </c>
      <c r="D48" s="11" t="s">
        <v>67</v>
      </c>
      <c r="E48" s="11" t="s">
        <v>24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45">
      <c r="A49" s="1"/>
      <c r="B49" s="26" t="s">
        <v>25</v>
      </c>
      <c r="C49" s="18">
        <f>COUNTIF($B$13:$B$36,B49)</f>
        <v>3</v>
      </c>
      <c r="D49" s="19">
        <f>SUMIF($B13:$B36,B49,$E13:$E36)</f>
        <v>7910.2</v>
      </c>
      <c r="E49" s="19">
        <f>SUMIF($B13:$B36,B49,$K13:$K36)</f>
        <v>3179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45">
      <c r="A50" s="1"/>
      <c r="B50" s="26" t="s">
        <v>28</v>
      </c>
      <c r="C50" s="18">
        <f t="shared" ref="C50:C56" si="6">COUNTIF($B$13:$B$36,B50)</f>
        <v>3</v>
      </c>
      <c r="D50" s="19">
        <f t="shared" ref="D50:D56" si="7">SUMIF($B14:$B37,B50,$E14:$E37)</f>
        <v>10964.2</v>
      </c>
      <c r="E50" s="19">
        <f t="shared" ref="E50:E56" si="8">SUMIF($B14:$B37,B50,$K14:$K37)</f>
        <v>7444.2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45">
      <c r="A51" s="1"/>
      <c r="B51" s="26" t="s">
        <v>30</v>
      </c>
      <c r="C51" s="18">
        <f t="shared" si="6"/>
        <v>3</v>
      </c>
      <c r="D51" s="19">
        <f t="shared" si="7"/>
        <v>3432.52</v>
      </c>
      <c r="E51" s="19">
        <f t="shared" si="8"/>
        <v>2454.4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45">
      <c r="A52" s="1"/>
      <c r="B52" s="26" t="s">
        <v>32</v>
      </c>
      <c r="C52" s="18">
        <f t="shared" si="6"/>
        <v>3</v>
      </c>
      <c r="D52" s="19">
        <f t="shared" si="7"/>
        <v>2302.14</v>
      </c>
      <c r="E52" s="19">
        <f t="shared" si="8"/>
        <v>908.9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45">
      <c r="A53" s="1"/>
      <c r="B53" s="26" t="s">
        <v>34</v>
      </c>
      <c r="C53" s="18">
        <f t="shared" si="6"/>
        <v>3</v>
      </c>
      <c r="D53" s="19">
        <f t="shared" si="7"/>
        <v>9192.7000000000007</v>
      </c>
      <c r="E53" s="19">
        <f t="shared" si="8"/>
        <v>9192.7000000000007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45">
      <c r="A54" s="1"/>
      <c r="B54" s="26" t="s">
        <v>36</v>
      </c>
      <c r="C54" s="18">
        <f t="shared" si="6"/>
        <v>3</v>
      </c>
      <c r="D54" s="19">
        <f t="shared" si="7"/>
        <v>4141.5</v>
      </c>
      <c r="E54" s="19">
        <f t="shared" si="8"/>
        <v>2689.5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45">
      <c r="A55" s="1"/>
      <c r="B55" s="26" t="s">
        <v>38</v>
      </c>
      <c r="C55" s="18">
        <f t="shared" si="6"/>
        <v>3</v>
      </c>
      <c r="D55" s="19">
        <f t="shared" si="7"/>
        <v>3016.78</v>
      </c>
      <c r="E55" s="19">
        <f t="shared" si="8"/>
        <v>717.6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45">
      <c r="A56" s="1"/>
      <c r="B56" s="26" t="s">
        <v>40</v>
      </c>
      <c r="C56" s="18">
        <f t="shared" si="6"/>
        <v>3</v>
      </c>
      <c r="D56" s="19">
        <f t="shared" si="7"/>
        <v>5230.5</v>
      </c>
      <c r="E56" s="19">
        <f t="shared" si="8"/>
        <v>5230.5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45">
      <c r="A57" s="1"/>
      <c r="B57" s="23" t="s">
        <v>58</v>
      </c>
      <c r="C57" s="24">
        <f>SUM(C49:C56)</f>
        <v>24</v>
      </c>
      <c r="D57" s="21">
        <f>SUM(D49:D56)</f>
        <v>46190.54</v>
      </c>
      <c r="E57" s="21">
        <f>SUM(E49:E56)</f>
        <v>31816.799999999999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4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.75" customHeight="1" x14ac:dyDescent="0.45">
      <c r="A59" s="35" t="s">
        <v>68</v>
      </c>
      <c r="B59" s="36"/>
      <c r="C59" s="36"/>
      <c r="D59" s="36"/>
      <c r="E59" s="36"/>
      <c r="F59" s="36"/>
      <c r="G59" s="36"/>
      <c r="H59" s="36"/>
      <c r="I59" s="36"/>
      <c r="J59" s="36"/>
      <c r="K59" s="37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31.5" customHeight="1" x14ac:dyDescent="0.45">
      <c r="A60" s="1"/>
      <c r="B60" s="11" t="s">
        <v>69</v>
      </c>
      <c r="C60" s="11" t="s">
        <v>70</v>
      </c>
      <c r="D60" s="11" t="s">
        <v>71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7.75" customHeight="1" x14ac:dyDescent="0.45">
      <c r="A61" s="1"/>
      <c r="B61" s="25" t="s">
        <v>72</v>
      </c>
      <c r="C61" s="3" t="s">
        <v>73</v>
      </c>
      <c r="D61" s="18">
        <f>COUNTIF($J$13:$J$36,"&gt;="&amp;$C$8)</f>
        <v>0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7.75" customHeight="1" x14ac:dyDescent="0.45">
      <c r="A62" s="1"/>
      <c r="B62" s="25" t="s">
        <v>74</v>
      </c>
      <c r="C62" s="3" t="s">
        <v>75</v>
      </c>
      <c r="D62" s="18">
        <f>COUNTIF($J$13:$J$36,"&gt;="&amp;$C$7)</f>
        <v>0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7.75" customHeight="1" x14ac:dyDescent="0.45">
      <c r="A63" s="1"/>
      <c r="B63" s="25" t="s">
        <v>76</v>
      </c>
      <c r="C63" s="3" t="s">
        <v>75</v>
      </c>
      <c r="D63" s="19">
        <f>SUMIF($E$13:$E$36,"&gt;="&amp;$C$7,$E$13:$E$36)</f>
        <v>18065.5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4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.75" customHeight="1" x14ac:dyDescent="0.45">
      <c r="A65" s="35" t="s">
        <v>77</v>
      </c>
      <c r="B65" s="36"/>
      <c r="C65" s="36"/>
      <c r="D65" s="36"/>
      <c r="E65" s="36"/>
      <c r="F65" s="36"/>
      <c r="G65" s="36"/>
      <c r="H65" s="36"/>
      <c r="I65" s="36"/>
      <c r="J65" s="36"/>
      <c r="K65" s="37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45">
      <c r="A66" s="1"/>
      <c r="B66" s="5" t="s">
        <v>78</v>
      </c>
      <c r="C66" s="19">
        <f>$D57</f>
        <v>46190.54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45">
      <c r="A67" s="1"/>
      <c r="B67" s="5" t="s">
        <v>79</v>
      </c>
      <c r="C67" s="19">
        <f>D41</f>
        <v>14373.74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45">
      <c r="A68" s="1"/>
      <c r="B68" s="5" t="s">
        <v>80</v>
      </c>
      <c r="C68" s="19">
        <f>$E57</f>
        <v>31816.799999999999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45">
      <c r="A69" s="1"/>
      <c r="B69" s="5" t="s">
        <v>81</v>
      </c>
      <c r="C69" s="19">
        <f>D43</f>
        <v>16318.199999999999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45">
      <c r="A70" s="1"/>
      <c r="B70" s="5" t="s">
        <v>82</v>
      </c>
      <c r="C70" s="22">
        <f>IF(C68=0,0,C69/C68)</f>
        <v>0.51287998793090439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45">
      <c r="A71" s="1"/>
      <c r="B71" s="5" t="s">
        <v>83</v>
      </c>
      <c r="C71" s="27" t="str">
        <f>IF(C70&gt;$C$9,"Critica","Accettabile")</f>
        <v>Critica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4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.75" customHeight="1" x14ac:dyDescent="0.45">
      <c r="A73" s="35" t="s">
        <v>84</v>
      </c>
      <c r="B73" s="36"/>
      <c r="C73" s="36"/>
      <c r="D73" s="36"/>
      <c r="E73" s="36"/>
      <c r="F73" s="36"/>
      <c r="G73" s="36"/>
      <c r="H73" s="36"/>
      <c r="I73" s="36"/>
      <c r="J73" s="36"/>
      <c r="K73" s="37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7.75" customHeight="1" x14ac:dyDescent="0.45">
      <c r="A74" s="30" t="s">
        <v>85</v>
      </c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7.75" customHeight="1" x14ac:dyDescent="0.45">
      <c r="A75" s="30" t="s">
        <v>86</v>
      </c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36.75" customHeight="1" x14ac:dyDescent="0.45">
      <c r="A76" s="30" t="s">
        <v>87</v>
      </c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7.75" customHeight="1" x14ac:dyDescent="0.45">
      <c r="A77" s="30" t="s">
        <v>88</v>
      </c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45">
      <c r="A78" s="30" t="s">
        <v>89</v>
      </c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36" customHeight="1" x14ac:dyDescent="0.45">
      <c r="A79" s="30" t="s">
        <v>90</v>
      </c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45">
      <c r="A80" s="30" t="s">
        <v>91</v>
      </c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7.75" customHeight="1" x14ac:dyDescent="0.45">
      <c r="A81" s="30" t="s">
        <v>92</v>
      </c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4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4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4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4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4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4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4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4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4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4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4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4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4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4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4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4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4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4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4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4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4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4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4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4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4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4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4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4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4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4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4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4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4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4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4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4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4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4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4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4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4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4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4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4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4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4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4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4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4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4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4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4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4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4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4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4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4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4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4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4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4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4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4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4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4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4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4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4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4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4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4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4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4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4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4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4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4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4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4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4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4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4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4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4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4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4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4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4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4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4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4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4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4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4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4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4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4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4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4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4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4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4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4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4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4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4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4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4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4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4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4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4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4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4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4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4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4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4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4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4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4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4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4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4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4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4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4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4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4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4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4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4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4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4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4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4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4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4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4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4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4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4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4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4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4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4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4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4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4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4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4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4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4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4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4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4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4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4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4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4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4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4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4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4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4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4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4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4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4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4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4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4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4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4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4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4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4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4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4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4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4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4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4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4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4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4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4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4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4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4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4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4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4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4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4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4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4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4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4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4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4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4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4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4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4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4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4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4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4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4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4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4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4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4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4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4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4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4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4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4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4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4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4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4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4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4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4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4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4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4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4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4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4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4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4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4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4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4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4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4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4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4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4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4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4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4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4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4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4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4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4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4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4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4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4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4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4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4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4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4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4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4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4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4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4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4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4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4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4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4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4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4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4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4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4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4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4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4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4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4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4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4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4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4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4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4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4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4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4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4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4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4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4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4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4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4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4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4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4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4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4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4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4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4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4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4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4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4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4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4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4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4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4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4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4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4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4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4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4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4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4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4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4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4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4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4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4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4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4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4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4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4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4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4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4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4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4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4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4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4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4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4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4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4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4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4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4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4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4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4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4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4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4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4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4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4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4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4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4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4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4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4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4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4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4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4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4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4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4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4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4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4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4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4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4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4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4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4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4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4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4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4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4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4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4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4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4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4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4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4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4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4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4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4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4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4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4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4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4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4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4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4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4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4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4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4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4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4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4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4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4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4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4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4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4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4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4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4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4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4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4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4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4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4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4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4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4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4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4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4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4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4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4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4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4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4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4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4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4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4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4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4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4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4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4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4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4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4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4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4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4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4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4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4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4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4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4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4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4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4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4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4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4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4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4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4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4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4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4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4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4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4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4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4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4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4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4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4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4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4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4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4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4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4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4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4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4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4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4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4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4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4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4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4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4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4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4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4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4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4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4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4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4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4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4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4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4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4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4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4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4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4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4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4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4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4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4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4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4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4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4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4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4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4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4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4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4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4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4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4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4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4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4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4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4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4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4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4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4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4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4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4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4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4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4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4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4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4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4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4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4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4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4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4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4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4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4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4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4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4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4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4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4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4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4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4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4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4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4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4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4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4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4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4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4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4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4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4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4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4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4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4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4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4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4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4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4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4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4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4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4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4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4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4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4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4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4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4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4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4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4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4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4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4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4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4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4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4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4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4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4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4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4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4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4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4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4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4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4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4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4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4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4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4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4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4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4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4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4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4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4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4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4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4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4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4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4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4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4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4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4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4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4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4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4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4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4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4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4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4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4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4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4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4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4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4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4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4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4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4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4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4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4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4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4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4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4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4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4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4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4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4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4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4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4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4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4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4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4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4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4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4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4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4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4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4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4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4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4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4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4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4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4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4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4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4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4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4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4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4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4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4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4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4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4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4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4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4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4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4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4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4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4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4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4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4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4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4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4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4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4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4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4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4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4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4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4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4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4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4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4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4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4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4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4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4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4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4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4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4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4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4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4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4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4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4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4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4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4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4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4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4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4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4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4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4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4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4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4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4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4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4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4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4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4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4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4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4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4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4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4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4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4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4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4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4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4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4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4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4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4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4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4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4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4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4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4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4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4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4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4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4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4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4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4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4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4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4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4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4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4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4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4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4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4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4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4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4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4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4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4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4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4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4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4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4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4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4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4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4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4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4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4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4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4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4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4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4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4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4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4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4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4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4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4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4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4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4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4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4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4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4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4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4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4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4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4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4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4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4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4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4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4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4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4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4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4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4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4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4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4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4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4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4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4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4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4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4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4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4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4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1">
    <mergeCell ref="A1:K1"/>
    <mergeCell ref="A2:K2"/>
    <mergeCell ref="A3:K3"/>
    <mergeCell ref="E4:K4"/>
    <mergeCell ref="A5:K5"/>
    <mergeCell ref="E6:K9"/>
    <mergeCell ref="A11:K11"/>
    <mergeCell ref="A75:K75"/>
    <mergeCell ref="A76:K76"/>
    <mergeCell ref="A77:K77"/>
    <mergeCell ref="A78:K78"/>
    <mergeCell ref="A79:K79"/>
    <mergeCell ref="A80:K80"/>
    <mergeCell ref="A81:K81"/>
    <mergeCell ref="B37:D37"/>
    <mergeCell ref="A39:K39"/>
    <mergeCell ref="A47:K47"/>
    <mergeCell ref="A59:K59"/>
    <mergeCell ref="A65:K65"/>
    <mergeCell ref="A73:K73"/>
    <mergeCell ref="A74:K74"/>
  </mergeCells>
  <pageMargins left="0.75" right="0.75" top="1" bottom="1" header="0" footer="0"/>
  <pageSetup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Esercitazione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5B INF</cp:lastModifiedBy>
  <dcterms:modified xsi:type="dcterms:W3CDTF">2026-10-26T09:05:58Z</dcterms:modified>
</cp:coreProperties>
</file>